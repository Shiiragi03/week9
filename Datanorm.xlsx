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f99ac89468fa17/Рабочий стол/"/>
    </mc:Choice>
  </mc:AlternateContent>
  <xr:revisionPtr revIDLastSave="638" documentId="8_{3B6C6A95-C0AE-4A0C-BB81-BBFF963AA73B}" xr6:coauthVersionLast="47" xr6:coauthVersionMax="47" xr10:uidLastSave="{C2FB331A-F1D5-45F9-8164-B484A3CE23C7}"/>
  <bookViews>
    <workbookView xWindow="-120" yWindow="-120" windowWidth="38640" windowHeight="21120" xr2:uid="{7F784E1D-353B-48C9-9E66-C7341B65D975}"/>
  </bookViews>
  <sheets>
    <sheet name="Sheet7" sheetId="15" r:id="rId1"/>
    <sheet name="HollywoodsMostProfitableStories" sheetId="2" r:id="rId2"/>
    <sheet name="Average profitability of High s" sheetId="7" r:id="rId3"/>
    <sheet name="Count films genre per each year" sheetId="8" r:id="rId4"/>
    <sheet name="Pivot table for High and Low" sheetId="3" r:id="rId5"/>
    <sheet name="Sheet2" sheetId="10" r:id="rId6"/>
  </sheets>
  <definedNames>
    <definedName name="_xlcn.WorksheetConnection_Datanorm.xlsxHollywoodsMostProfitableStories1" hidden="1">HollywoodsMostProfitableStories[]</definedName>
    <definedName name="ExternalData_1" localSheetId="1" hidden="1">HollywoodsMostProfitableStories!$A$1:$H$70</definedName>
  </definedNames>
  <calcPr calcId="191029"/>
  <pivotCaches>
    <pivotCache cacheId="6" r:id="rId7"/>
    <pivotCache cacheId="35" r:id="rId8"/>
    <pivotCache cacheId="32" r:id="rId9"/>
    <pivotCache cacheId="3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llywoodsMostProfitableStories" name="HollywoodsMostProfitableStories" connection="WorksheetConnection_Datanorm.xlsx!HollywoodsMostProfitableStori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L6" i="2"/>
  <c r="K6" i="2"/>
  <c r="K12" i="2"/>
  <c r="L4" i="2"/>
  <c r="K4" i="2"/>
  <c r="K2" i="2"/>
  <c r="M6" i="2" l="1"/>
  <c r="N6" i="2" s="1"/>
  <c r="M4" i="2"/>
  <c r="N4" i="2" s="1"/>
  <c r="O6" i="2" l="1"/>
  <c r="O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0A7C5-7BD2-42E5-96C1-2B5A828496EF}" keepAlive="1" name="Query - HollywoodsMostProfitableStories" description="Connection to the 'HollywoodsMostProfitableStories' query in the workbook." type="5" refreshedVersion="8" background="1" saveData="1">
    <dbPr connection="Provider=Microsoft.Mashup.OleDb.1;Data Source=$Workbook$;Location=HollywoodsMostProfitableStories;Extended Properties=&quot;&quot;" command="SELECT * FROM [HollywoodsMostProfitableStories]"/>
  </connection>
  <connection id="2" xr16:uid="{CF675DA6-A705-48D1-9EDC-0A0B5EE8157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7635FD5-1B8D-4510-B80C-B5900F1010BF}" name="WorksheetConnection_Datanorm.xlsx!HollywoodsMostProfitableStories" type="102" refreshedVersion="8" minRefreshableVersion="5">
    <extLst>
      <ext xmlns:x15="http://schemas.microsoft.com/office/spreadsheetml/2010/11/main" uri="{DE250136-89BD-433C-8126-D09CA5730AF9}">
        <x15:connection id="HollywoodsMostProfitableStories" autoDelete="1">
          <x15:rangePr sourceName="_xlcn.WorksheetConnection_Datanorm.xlsxHollywoodsMostProfitableStories1"/>
        </x15:connection>
      </ext>
    </extLst>
  </connection>
</connections>
</file>

<file path=xl/sharedStrings.xml><?xml version="1.0" encoding="utf-8"?>
<sst xmlns="http://schemas.openxmlformats.org/spreadsheetml/2006/main" count="262" uniqueCount="120">
  <si>
    <t>Film</t>
  </si>
  <si>
    <t>Genre</t>
  </si>
  <si>
    <t>Lead Studio</t>
  </si>
  <si>
    <t>Audience  score %</t>
  </si>
  <si>
    <t>Profitability</t>
  </si>
  <si>
    <t>Rotten Tomatoes %</t>
  </si>
  <si>
    <t>Worldwide Gross</t>
  </si>
  <si>
    <t>Year</t>
  </si>
  <si>
    <t>27 Dresses</t>
  </si>
  <si>
    <t>Comedy</t>
  </si>
  <si>
    <t>Fox</t>
  </si>
  <si>
    <t>(500) Days of Summer</t>
  </si>
  <si>
    <t>A Dangerous Method</t>
  </si>
  <si>
    <t>Drama</t>
  </si>
  <si>
    <t>Independent</t>
  </si>
  <si>
    <t>A Serious Man</t>
  </si>
  <si>
    <t>Universal</t>
  </si>
  <si>
    <t>Across the Universe</t>
  </si>
  <si>
    <t>Romance</t>
  </si>
  <si>
    <t>Beginners</t>
  </si>
  <si>
    <t>Dear John</t>
  </si>
  <si>
    <t>Sony</t>
  </si>
  <si>
    <t>Enchanted</t>
  </si>
  <si>
    <t>Disney</t>
  </si>
  <si>
    <t>Fireproof</t>
  </si>
  <si>
    <t>Four Christmases</t>
  </si>
  <si>
    <t>Warner Bros.</t>
  </si>
  <si>
    <t>Ghosts of Girlfriends Past</t>
  </si>
  <si>
    <t>Gnomeo and Juliet</t>
  </si>
  <si>
    <t>Animation</t>
  </si>
  <si>
    <t>Going the Distance</t>
  </si>
  <si>
    <t>Good Luck Chuck</t>
  </si>
  <si>
    <t>Lionsgate</t>
  </si>
  <si>
    <t>He's Just Not That Into You</t>
  </si>
  <si>
    <t>High School Musical 3: Senior Year</t>
  </si>
  <si>
    <t>I Love You Phillip Morris</t>
  </si>
  <si>
    <t>It's Complicated</t>
  </si>
  <si>
    <t>Just Wright</t>
  </si>
  <si>
    <t>Killers</t>
  </si>
  <si>
    <t>Action</t>
  </si>
  <si>
    <t>Knocked Up</t>
  </si>
  <si>
    <t>Leap Year</t>
  </si>
  <si>
    <t>Letters to Juliet</t>
  </si>
  <si>
    <t>Summit</t>
  </si>
  <si>
    <t>License to Wed</t>
  </si>
  <si>
    <t>Life as We Know It</t>
  </si>
  <si>
    <t>Love &amp; Other Drugs</t>
  </si>
  <si>
    <t>Love Happens</t>
  </si>
  <si>
    <t>Made of Honor</t>
  </si>
  <si>
    <t>Mamma Mia!</t>
  </si>
  <si>
    <t>Marley and Me</t>
  </si>
  <si>
    <t>Midnight in Paris</t>
  </si>
  <si>
    <t>Miss Pettigrew Lives for a Day</t>
  </si>
  <si>
    <t>Monte Carlo</t>
  </si>
  <si>
    <t>20th Century Fox</t>
  </si>
  <si>
    <t>Music and Lyrics</t>
  </si>
  <si>
    <t>My Week with Marilyn</t>
  </si>
  <si>
    <t>The Weinstein Company</t>
  </si>
  <si>
    <t>New Year's Eve</t>
  </si>
  <si>
    <t>Nick and Norah's Infinite Playlist</t>
  </si>
  <si>
    <t>Not Easily Broken</t>
  </si>
  <si>
    <t>One Day</t>
  </si>
  <si>
    <t>Over Her Dead Body</t>
  </si>
  <si>
    <t>New Line</t>
  </si>
  <si>
    <t>P.S. I Love You</t>
  </si>
  <si>
    <t>Penelope</t>
  </si>
  <si>
    <t>Rachel Getting Married</t>
  </si>
  <si>
    <t>Remember Me</t>
  </si>
  <si>
    <t>Sex and the City</t>
  </si>
  <si>
    <t>Sex and the City 2</t>
  </si>
  <si>
    <t>She's Out of My League</t>
  </si>
  <si>
    <t>Paramount</t>
  </si>
  <si>
    <t>Tangled</t>
  </si>
  <si>
    <t>The Back-up Plan</t>
  </si>
  <si>
    <t>CBS</t>
  </si>
  <si>
    <t>The Curious Case of Benjamin Button</t>
  </si>
  <si>
    <t>Fantasy</t>
  </si>
  <si>
    <t>The Duchess</t>
  </si>
  <si>
    <t>The Heartbreak Kid</t>
  </si>
  <si>
    <t>The Invention of Lying</t>
  </si>
  <si>
    <t>The Proposal</t>
  </si>
  <si>
    <t>The Time Traveler's Wife</t>
  </si>
  <si>
    <t>The Twilight Saga: New Moon</t>
  </si>
  <si>
    <t>The Ugly Truth</t>
  </si>
  <si>
    <t>Twilight</t>
  </si>
  <si>
    <t>Twilight: Breaking Dawn</t>
  </si>
  <si>
    <t>Tyler Perry's Why Did I get Married</t>
  </si>
  <si>
    <t>Valentine's Day</t>
  </si>
  <si>
    <t>Waiting For Forever</t>
  </si>
  <si>
    <t>Waitress</t>
  </si>
  <si>
    <t>WALL-E</t>
  </si>
  <si>
    <t>Water For Elephants</t>
  </si>
  <si>
    <t>What Happens in Vegas</t>
  </si>
  <si>
    <t>You Will Meet a Tall Dark Stranger</t>
  </si>
  <si>
    <t>Youth in Revolt</t>
  </si>
  <si>
    <t>Zack and Miri Make a Porno</t>
  </si>
  <si>
    <t>Q1</t>
  </si>
  <si>
    <t>Q3</t>
  </si>
  <si>
    <t>IQR</t>
  </si>
  <si>
    <t>Lower bound</t>
  </si>
  <si>
    <t>Higher bound</t>
  </si>
  <si>
    <t>Average of audience score</t>
  </si>
  <si>
    <t>Group by Audience score</t>
  </si>
  <si>
    <t>Row Labels</t>
  </si>
  <si>
    <t>Grand Total</t>
  </si>
  <si>
    <t>Count of Audience  score %</t>
  </si>
  <si>
    <t>Max. of Audience  score %</t>
  </si>
  <si>
    <t>Min. of Audience  score %</t>
  </si>
  <si>
    <t>Average profit</t>
  </si>
  <si>
    <t>Higher score</t>
  </si>
  <si>
    <t>Lower score</t>
  </si>
  <si>
    <t>Average of Profitability</t>
  </si>
  <si>
    <t>Count of Genre</t>
  </si>
  <si>
    <t>Column Labels</t>
  </si>
  <si>
    <t>Average of Audience  score %</t>
  </si>
  <si>
    <t>StdDev of Audience  score %</t>
  </si>
  <si>
    <t>Median of Audience score %</t>
  </si>
  <si>
    <t>Q1 of Audience Score</t>
  </si>
  <si>
    <t>Q3 of Audience Score</t>
  </si>
  <si>
    <t>IQR of Audience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</si>
</sst>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 indent="9"/>
    </xf>
    <xf numFmtId="0" fontId="0" fillId="0" borderId="0" xfId="0" applyNumberFormat="1"/>
  </cellXfs>
  <cellStyles count="1">
    <cellStyle name="Normal" xfId="0" builtinId="0"/>
  </cellStyles>
  <dxfs count="16">
    <dxf>
      <numFmt numFmtId="165" formatCode="0.0"/>
    </dxf>
    <dxf>
      <numFmt numFmtId="2" formatCode="0.00"/>
    </dxf>
    <dxf>
      <numFmt numFmtId="165" formatCode="0.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64" formatCode="_-[$$-409]* #,##0.00_ ;_-[$$-409]* \-#,##0.00\ ;_-[$$-409]* &quot;-&quot;??_ ;_-@_ "/>
      <alignment horizontal="left" vertical="bottom" textRotation="0" wrapText="0" relativeIndent="1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[Datanorm.xlsx]Sheet7!PivotTable7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Sheet7!$A$4:$A$9</c:f>
              <c:strCach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strCache>
            </c:strRef>
          </c:cat>
          <c:val>
            <c:numRef>
              <c:f>Sheet7!$B$4:$B$9</c:f>
              <c:numCache>
                <c:formatCode>0.00</c:formatCode>
                <c:ptCount val="5"/>
                <c:pt idx="0">
                  <c:v>67</c:v>
                </c:pt>
                <c:pt idx="1">
                  <c:v>69.78947368421052</c:v>
                </c:pt>
                <c:pt idx="2">
                  <c:v>62.75</c:v>
                </c:pt>
                <c:pt idx="3">
                  <c:v>56.764705882352942</c:v>
                </c:pt>
                <c:pt idx="4">
                  <c:v>66.727272727272734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2-49AA-B0A3-65FDBBB67C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6077216"/>
        <c:axId val="406077696"/>
      </c:lineChart>
      <c:catAx>
        <c:axId val="40607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06077696"/>
        <c:crosses val="autoZero"/>
        <c:auto val="1"/>
        <c:lblAlgn val="ctr"/>
        <c:lblOffset val="100"/>
        <c:noMultiLvlLbl val="0"/>
      </c:catAx>
      <c:valAx>
        <c:axId val="40607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Audience</a:t>
                </a:r>
                <a:r>
                  <a:rPr lang="en-US" baseline="0"/>
                  <a:t>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060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[Datanorm.xlsx]Average profitability of High 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profitability of High score and Low score films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profitability of High 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profitability of High s'!$A$4:$A$6</c:f>
              <c:strCache>
                <c:ptCount val="2"/>
                <c:pt idx="0">
                  <c:v>Higher score</c:v>
                </c:pt>
                <c:pt idx="1">
                  <c:v>Lower score</c:v>
                </c:pt>
              </c:strCache>
            </c:strRef>
          </c:cat>
          <c:val>
            <c:numRef>
              <c:f>'Average profitability of High s'!$B$4:$B$6</c:f>
              <c:numCache>
                <c:formatCode>0.00</c:formatCode>
                <c:ptCount val="2"/>
                <c:pt idx="0">
                  <c:v>5.2679583645142865</c:v>
                </c:pt>
                <c:pt idx="1">
                  <c:v>4.3308546516470576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3-4740-8ADA-AE392EFEBE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78083503"/>
        <c:axId val="1978083983"/>
      </c:barChart>
      <c:catAx>
        <c:axId val="197808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Group</a:t>
                </a:r>
                <a:r>
                  <a:rPr lang="en-US" baseline="0"/>
                  <a:t> of Audience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978083983"/>
        <c:crosses val="autoZero"/>
        <c:auto val="1"/>
        <c:lblAlgn val="ctr"/>
        <c:lblOffset val="100"/>
        <c:noMultiLvlLbl val="0"/>
      </c:catAx>
      <c:valAx>
        <c:axId val="197808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Profitability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97808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[Datanorm.xlsx]Count films genre per each year!PivotTable2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 films genre per each year'!$B$3:$B$4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films genre per each year'!$A$5:$A$11</c:f>
              <c:strCache>
                <c:ptCount val="6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Drama</c:v>
                </c:pt>
                <c:pt idx="4">
                  <c:v>Fantasy</c:v>
                </c:pt>
                <c:pt idx="5">
                  <c:v>Romance</c:v>
                </c:pt>
              </c:strCache>
            </c:strRef>
          </c:cat>
          <c:val>
            <c:numRef>
              <c:f>'Count films genre per each year'!$B$5:$B$11</c:f>
              <c:numCache>
                <c:formatCode>General</c:formatCode>
                <c:ptCount val="6"/>
                <c:pt idx="2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C-43C0-848B-1F41099DEC51}"/>
            </c:ext>
          </c:extLst>
        </c:ser>
        <c:ser>
          <c:idx val="1"/>
          <c:order val="1"/>
          <c:tx>
            <c:strRef>
              <c:f>'Count films genre per each year'!$C$3:$C$4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films genre per each year'!$A$5:$A$11</c:f>
              <c:strCache>
                <c:ptCount val="6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Drama</c:v>
                </c:pt>
                <c:pt idx="4">
                  <c:v>Fantasy</c:v>
                </c:pt>
                <c:pt idx="5">
                  <c:v>Romance</c:v>
                </c:pt>
              </c:strCache>
            </c:strRef>
          </c:cat>
          <c:val>
            <c:numRef>
              <c:f>'Count films genre per each year'!$C$5:$C$11</c:f>
              <c:numCache>
                <c:formatCode>General</c:formatCode>
                <c:ptCount val="6"/>
                <c:pt idx="1">
                  <c:v>1</c:v>
                </c:pt>
                <c:pt idx="2">
                  <c:v>12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C-43C0-848B-1F41099DEC51}"/>
            </c:ext>
          </c:extLst>
        </c:ser>
        <c:ser>
          <c:idx val="2"/>
          <c:order val="2"/>
          <c:tx>
            <c:strRef>
              <c:f>'Count films genre per each year'!$D$3:$D$4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films genre per each year'!$A$5:$A$11</c:f>
              <c:strCache>
                <c:ptCount val="6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Drama</c:v>
                </c:pt>
                <c:pt idx="4">
                  <c:v>Fantasy</c:v>
                </c:pt>
                <c:pt idx="5">
                  <c:v>Romance</c:v>
                </c:pt>
              </c:strCache>
            </c:strRef>
          </c:cat>
          <c:val>
            <c:numRef>
              <c:f>'Count films genre per each year'!$D$5:$D$11</c:f>
              <c:numCache>
                <c:formatCode>General</c:formatCode>
                <c:ptCount val="6"/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C-43C0-848B-1F41099DEC51}"/>
            </c:ext>
          </c:extLst>
        </c:ser>
        <c:ser>
          <c:idx val="3"/>
          <c:order val="3"/>
          <c:tx>
            <c:strRef>
              <c:f>'Count films genre per each year'!$E$3:$E$4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films genre per each year'!$A$5:$A$11</c:f>
              <c:strCache>
                <c:ptCount val="6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Drama</c:v>
                </c:pt>
                <c:pt idx="4">
                  <c:v>Fantasy</c:v>
                </c:pt>
                <c:pt idx="5">
                  <c:v>Romance</c:v>
                </c:pt>
              </c:strCache>
            </c:strRef>
          </c:cat>
          <c:val>
            <c:numRef>
              <c:f>'Count films genre per each year'!$E$5:$E$11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1C-43C0-848B-1F41099DEC51}"/>
            </c:ext>
          </c:extLst>
        </c:ser>
        <c:ser>
          <c:idx val="4"/>
          <c:order val="4"/>
          <c:tx>
            <c:strRef>
              <c:f>'Count films genre per each year'!$F$3:$F$4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films genre per each year'!$A$5:$A$11</c:f>
              <c:strCache>
                <c:ptCount val="6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Drama</c:v>
                </c:pt>
                <c:pt idx="4">
                  <c:v>Fantasy</c:v>
                </c:pt>
                <c:pt idx="5">
                  <c:v>Romance</c:v>
                </c:pt>
              </c:strCache>
            </c:strRef>
          </c:cat>
          <c:val>
            <c:numRef>
              <c:f>'Count films genre per each year'!$F$5:$F$11</c:f>
              <c:numCache>
                <c:formatCode>General</c:formatCode>
                <c:ptCount val="6"/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1C-43C0-848B-1F41099DEC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8497216"/>
        <c:axId val="768502496"/>
      </c:barChart>
      <c:catAx>
        <c:axId val="76849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68502496"/>
        <c:crosses val="autoZero"/>
        <c:auto val="1"/>
        <c:lblAlgn val="ctr"/>
        <c:lblOffset val="100"/>
        <c:noMultiLvlLbl val="0"/>
      </c:catAx>
      <c:valAx>
        <c:axId val="76850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6849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[Datanorm.xlsx]Pivot table for High and Low!PivotTable1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for High and Low'!$A$3</c:f>
              <c:strCache>
                <c:ptCount val="1"/>
                <c:pt idx="0">
                  <c:v>Count of Audience  score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for High and Low'!$A$4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for High and Low'!$A$4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0-4EAF-8395-FD7FA67E5A79}"/>
            </c:ext>
          </c:extLst>
        </c:ser>
        <c:ser>
          <c:idx val="1"/>
          <c:order val="1"/>
          <c:tx>
            <c:strRef>
              <c:f>'Pivot table for High and Low'!$B$3</c:f>
              <c:strCache>
                <c:ptCount val="1"/>
                <c:pt idx="0">
                  <c:v>Max. of Audience  score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for High and Low'!$A$4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for High and Low'!$B$4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68-4128-97DF-EF87DD5BA71E}"/>
            </c:ext>
          </c:extLst>
        </c:ser>
        <c:ser>
          <c:idx val="2"/>
          <c:order val="2"/>
          <c:tx>
            <c:strRef>
              <c:f>'Pivot table for High and Low'!$C$3</c:f>
              <c:strCache>
                <c:ptCount val="1"/>
                <c:pt idx="0">
                  <c:v>Min. of Audience  score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for High and Low'!$A$4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for High and Low'!$C$4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68-4128-97DF-EF87DD5BA71E}"/>
            </c:ext>
          </c:extLst>
        </c:ser>
        <c:ser>
          <c:idx val="3"/>
          <c:order val="3"/>
          <c:tx>
            <c:strRef>
              <c:f>'Pivot table for High and Low'!$D$3</c:f>
              <c:strCache>
                <c:ptCount val="1"/>
                <c:pt idx="0">
                  <c:v>Average of Audience  score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for High and Low'!$A$4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for High and Low'!$D$4</c:f>
              <c:numCache>
                <c:formatCode>General</c:formatCode>
                <c:ptCount val="1"/>
                <c:pt idx="0">
                  <c:v>64.463768115942031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68-4128-97DF-EF87DD5BA71E}"/>
            </c:ext>
          </c:extLst>
        </c:ser>
        <c:ser>
          <c:idx val="4"/>
          <c:order val="4"/>
          <c:tx>
            <c:strRef>
              <c:f>'Pivot table for High and Low'!$E$3</c:f>
              <c:strCache>
                <c:ptCount val="1"/>
                <c:pt idx="0">
                  <c:v>StdDev of Audience  score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for High and Low'!$A$4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for High and Low'!$E$4</c:f>
              <c:numCache>
                <c:formatCode>General</c:formatCode>
                <c:ptCount val="1"/>
                <c:pt idx="0">
                  <c:v>13.613984710956045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68-4128-97DF-EF87DD5BA7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7681424"/>
        <c:axId val="707678544"/>
      </c:barChart>
      <c:catAx>
        <c:axId val="7076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07678544"/>
        <c:crosses val="autoZero"/>
        <c:auto val="1"/>
        <c:lblAlgn val="ctr"/>
        <c:lblOffset val="100"/>
        <c:noMultiLvlLbl val="0"/>
      </c:catAx>
      <c:valAx>
        <c:axId val="7076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0768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[Datanorm.xlsx]Sheet2!PivotTable2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Drama</c:v>
                </c:pt>
                <c:pt idx="4">
                  <c:v>Fantasy</c:v>
                </c:pt>
                <c:pt idx="5">
                  <c:v>Romance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38</c:v>
                </c:pt>
                <c:pt idx="3">
                  <c:v>13</c:v>
                </c:pt>
                <c:pt idx="4">
                  <c:v>1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7-4DB8-B150-BDB1092EC6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8274367"/>
        <c:axId val="878276287"/>
      </c:barChart>
      <c:catAx>
        <c:axId val="8782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78276287"/>
        <c:crosses val="autoZero"/>
        <c:auto val="1"/>
        <c:lblAlgn val="ctr"/>
        <c:lblOffset val="100"/>
        <c:noMultiLvlLbl val="0"/>
      </c:catAx>
      <c:valAx>
        <c:axId val="87827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7827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28575</xdr:rowOff>
    </xdr:from>
    <xdr:to>
      <xdr:col>16</xdr:col>
      <xdr:colOff>19050</xdr:colOff>
      <xdr:row>28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019CE-7E90-C6E0-DC36-DE99A1FA1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2</xdr:row>
      <xdr:rowOff>61912</xdr:rowOff>
    </xdr:from>
    <xdr:to>
      <xdr:col>15</xdr:col>
      <xdr:colOff>495300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8FCDF-C814-6B0F-2348-B5244FB23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742950</xdr:colOff>
      <xdr:row>2</xdr:row>
      <xdr:rowOff>9525</xdr:rowOff>
    </xdr:from>
    <xdr:to>
      <xdr:col>14</xdr:col>
      <xdr:colOff>123825</xdr:colOff>
      <xdr:row>27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2F71DF-C316-F559-F426-17A64B0B8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</xdr:col>
      <xdr:colOff>314325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2A037-7C8B-D958-78FC-4DE679C72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2</xdr:row>
      <xdr:rowOff>4761</xdr:rowOff>
    </xdr:from>
    <xdr:to>
      <xdr:col>10</xdr:col>
      <xdr:colOff>276224</xdr:colOff>
      <xdr:row>18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FFA9A-DCB8-492F-06FF-C7130E570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il Taranenko" refreshedDate="46118.498824305556" createdVersion="8" refreshedVersion="8" minRefreshableVersion="3" recordCount="69" xr:uid="{225F9C1C-6A97-4AC9-B10A-1E3B06082F46}">
  <cacheSource type="worksheet">
    <worksheetSource name="HollywoodsMostProfitableStories"/>
  </cacheSource>
  <cacheFields count="9">
    <cacheField name="Film" numFmtId="0">
      <sharedItems/>
    </cacheField>
    <cacheField name="Genre" numFmtId="0">
      <sharedItems count="6">
        <s v="Comedy"/>
        <s v="Drama"/>
        <s v="Romance"/>
        <s v="Animation"/>
        <s v="Action"/>
        <s v="Fantasy"/>
      </sharedItems>
    </cacheField>
    <cacheField name="Lead Studio" numFmtId="0">
      <sharedItems/>
    </cacheField>
    <cacheField name="Audience  score %" numFmtId="0">
      <sharedItems containsSemiMixedTypes="0" containsString="0" containsNumber="1" containsInteger="1" minValue="35" maxValue="89"/>
    </cacheField>
    <cacheField name="Profitability" numFmtId="0">
      <sharedItems/>
    </cacheField>
    <cacheField name="Rotten Tomatoes %" numFmtId="0">
      <sharedItems containsSemiMixedTypes="0" containsString="0" containsNumber="1" containsInteger="1" minValue="3" maxValue="96"/>
    </cacheField>
    <cacheField name="Worldwide Gross" numFmtId="0">
      <sharedItems/>
    </cacheField>
    <cacheField name="Year" numFmtId="0">
      <sharedItems containsSemiMixedTypes="0" containsString="0" containsNumber="1" containsInteger="1" minValue="2007" maxValue="2011"/>
    </cacheField>
    <cacheField name="Group by Audience score" numFmtId="0">
      <sharedItems count="2"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il Taranenko" refreshedDate="46120.496055671298" backgroundQuery="1" createdVersion="8" refreshedVersion="8" minRefreshableVersion="3" recordCount="0" supportSubquery="1" supportAdvancedDrill="1" xr:uid="{C2A77795-117F-4D2A-AC86-46D643CBD61D}">
  <cacheSource type="external" connectionId="2"/>
  <cacheFields count="2">
    <cacheField name="[HollywoodsMostProfitableStories].[Year].[Year]" caption="Year" numFmtId="0" hierarchy="7" level="1">
      <sharedItems containsSemiMixedTypes="0" containsString="0" containsNumber="1" containsInteger="1" minValue="2007" maxValue="2011" count="5">
        <n v="2007"/>
        <n v="2008"/>
        <n v="2009"/>
        <n v="2010"/>
        <n v="2011"/>
      </sharedItems>
      <extLst>
        <ext xmlns:x15="http://schemas.microsoft.com/office/spreadsheetml/2010/11/main" uri="{4F2E5C28-24EA-4eb8-9CBF-B6C8F9C3D259}">
          <x15:cachedUniqueNames>
            <x15:cachedUniqueName index="0" name="[HollywoodsMostProfitableStories].[Year].&amp;[2007]"/>
            <x15:cachedUniqueName index="1" name="[HollywoodsMostProfitableStories].[Year].&amp;[2008]"/>
            <x15:cachedUniqueName index="2" name="[HollywoodsMostProfitableStories].[Year].&amp;[2009]"/>
            <x15:cachedUniqueName index="3" name="[HollywoodsMostProfitableStories].[Year].&amp;[2010]"/>
            <x15:cachedUniqueName index="4" name="[HollywoodsMostProfitableStories].[Year].&amp;[2011]"/>
          </x15:cachedUniqueNames>
        </ext>
      </extLst>
    </cacheField>
    <cacheField name="[Measures].[Average of Audience  score %]" caption="Average of Audience  score %" numFmtId="0" hierarchy="20" level="32767"/>
  </cacheFields>
  <cacheHierarchies count="21">
    <cacheHierarchy uniqueName="[HollywoodsMostProfitableStories].[Film]" caption="Film" attribute="1" defaultMemberUniqueName="[HollywoodsMostProfitableStories].[Film].[All]" allUniqueName="[HollywoodsMostProfitableStories].[Film].[All]" dimensionUniqueName="[HollywoodsMostProfitableStories]" displayFolder="" count="0" memberValueDatatype="130" unbalanced="0"/>
    <cacheHierarchy uniqueName="[HollywoodsMostProfitableStories].[Genre]" caption="Genre" attribute="1" defaultMemberUniqueName="[HollywoodsMostProfitableStories].[Genre].[All]" allUniqueName="[HollywoodsMostProfitableStories].[Genre].[All]" dimensionUniqueName="[HollywoodsMostProfitableStories]" displayFolder="" count="0" memberValueDatatype="130" unbalanced="0"/>
    <cacheHierarchy uniqueName="[HollywoodsMostProfitableStories].[Lead Studio]" caption="Lead Studio" attribute="1" defaultMemberUniqueName="[HollywoodsMostProfitableStories].[Lead Studio].[All]" allUniqueName="[HollywoodsMostProfitableStories].[Lead Studio].[All]" dimensionUniqueName="[HollywoodsMostProfitableStories]" displayFolder="" count="0" memberValueDatatype="130" unbalanced="0"/>
    <cacheHierarchy uniqueName="[HollywoodsMostProfitableStories].[Audience  score %]" caption="Audience  score %" attribute="1" defaultMemberUniqueName="[HollywoodsMostProfitableStories].[Audience  score %].[All]" allUniqueName="[HollywoodsMostProfitableStories].[Audience  score %].[All]" dimensionUniqueName="[HollywoodsMostProfitableStories]" displayFolder="" count="0" memberValueDatatype="20" unbalanced="0"/>
    <cacheHierarchy uniqueName="[HollywoodsMostProfitableStories].[Profitability]" caption="Profitability" attribute="1" defaultMemberUniqueName="[HollywoodsMostProfitableStories].[Profitability].[All]" allUniqueName="[HollywoodsMostProfitableStories].[Profitability].[All]" dimensionUniqueName="[HollywoodsMostProfitableStories]" displayFolder="" count="0" memberValueDatatype="5" unbalanced="0"/>
    <cacheHierarchy uniqueName="[HollywoodsMostProfitableStories].[Rotten Tomatoes %]" caption="Rotten Tomatoes %" attribute="1" defaultMemberUniqueName="[HollywoodsMostProfitableStories].[Rotten Tomatoes %].[All]" allUniqueName="[HollywoodsMostProfitableStories].[Rotten Tomatoes %].[All]" dimensionUniqueName="[HollywoodsMostProfitableStories]" displayFolder="" count="0" memberValueDatatype="20" unbalanced="0"/>
    <cacheHierarchy uniqueName="[HollywoodsMostProfitableStories].[Worldwide Gross]" caption="Worldwide Gross" attribute="1" defaultMemberUniqueName="[HollywoodsMostProfitableStories].[Worldwide Gross].[All]" allUniqueName="[HollywoodsMostProfitableStories].[Worldwide Gross].[All]" dimensionUniqueName="[HollywoodsMostProfitableStories]" displayFolder="" count="0" memberValueDatatype="5" unbalanced="0"/>
    <cacheHierarchy uniqueName="[HollywoodsMostProfitableStories].[Year]" caption="Year" attribute="1" defaultMemberUniqueName="[HollywoodsMostProfitableStories].[Year].[All]" allUniqueName="[HollywoodsMostProfitableStories].[Year].[All]" dimensionUniqueName="[HollywoodsMostProfitableStories]" displayFolder="" count="2" memberValueDatatype="20" unbalanced="0">
      <fieldsUsage count="2">
        <fieldUsage x="-1"/>
        <fieldUsage x="0"/>
      </fieldsUsage>
    </cacheHierarchy>
    <cacheHierarchy uniqueName="[HollywoodsMostProfitableStories].[Group by Audience score]" caption="Group by Audience score" attribute="1" defaultMemberUniqueName="[HollywoodsMostProfitableStories].[Group by Audience score].[All]" allUniqueName="[HollywoodsMostProfitableStories].[Group by Audience score].[All]" dimensionUniqueName="[HollywoodsMostProfitableStories]" displayFolder="" count="0" memberValueDatatype="130" unbalanced="0"/>
    <cacheHierarchy uniqueName="[Measures].[__XL_Count HollywoodsMostProfitableStories]" caption="__XL_Count HollywoodsMostProfitableStories" measure="1" displayFolder="" measureGroup="HollywoodsMostProfitableStories" count="0" hidden="1"/>
    <cacheHierarchy uniqueName="[Measures].[__No measures defined]" caption="__No measures defined" measure="1" displayFolder="" count="0" hidden="1"/>
    <cacheHierarchy uniqueName="[Measures].[Sum of Profitability]" caption="Sum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ability]" caption="Average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ability]" caption="Max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Genre]" caption="Count of Genre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Year]" caption="Sum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Year]" caption="Count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Year]" caption="Average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Var of Profitability]" caption="Var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udience  score %]" caption="Sum of Audience  score %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udience  score %]" caption="Average of Audience  score %" measure="1" displayFolder="" measureGroup="HollywoodsMostProfitableStori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HollywoodsMostProfitableStories" uniqueName="[HollywoodsMostProfitableStories]" caption="HollywoodsMostProfitableStories"/>
    <dimension measure="1" name="Measures" uniqueName="[Measures]" caption="Measures"/>
  </dimensions>
  <measureGroups count="1">
    <measureGroup name="HollywoodsMostProfitableStories" caption="HollywoodsMostProfitableStori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il Taranenko" refreshedDate="46118.743770601854" backgroundQuery="1" createdVersion="8" refreshedVersion="8" minRefreshableVersion="3" recordCount="0" supportSubquery="1" supportAdvancedDrill="1" xr:uid="{BC2E5BB7-63A1-4AC8-BFCB-19714F91C480}">
  <cacheSource type="external" connectionId="2"/>
  <cacheFields count="2">
    <cacheField name="[HollywoodsMostProfitableStories].[Group by Audience score].[Group by Audience score]" caption="Group by Audience score" numFmtId="0" hierarchy="8" level="1">
      <sharedItems count="2">
        <s v="Higher score"/>
        <s v="Lower score"/>
      </sharedItems>
    </cacheField>
    <cacheField name="[Measures].[Average of Profitability]" caption="Average of Profitability" numFmtId="0" hierarchy="12" level="32767"/>
  </cacheFields>
  <cacheHierarchies count="21">
    <cacheHierarchy uniqueName="[HollywoodsMostProfitableStories].[Film]" caption="Film" attribute="1" defaultMemberUniqueName="[HollywoodsMostProfitableStories].[Film].[All]" allUniqueName="[HollywoodsMostProfitableStories].[Film].[All]" dimensionUniqueName="[HollywoodsMostProfitableStories]" displayFolder="" count="0" memberValueDatatype="130" unbalanced="0"/>
    <cacheHierarchy uniqueName="[HollywoodsMostProfitableStories].[Genre]" caption="Genre" attribute="1" defaultMemberUniqueName="[HollywoodsMostProfitableStories].[Genre].[All]" allUniqueName="[HollywoodsMostProfitableStories].[Genre].[All]" dimensionUniqueName="[HollywoodsMostProfitableStories]" displayFolder="" count="0" memberValueDatatype="130" unbalanced="0"/>
    <cacheHierarchy uniqueName="[HollywoodsMostProfitableStories].[Lead Studio]" caption="Lead Studio" attribute="1" defaultMemberUniqueName="[HollywoodsMostProfitableStories].[Lead Studio].[All]" allUniqueName="[HollywoodsMostProfitableStories].[Lead Studio].[All]" dimensionUniqueName="[HollywoodsMostProfitableStories]" displayFolder="" count="0" memberValueDatatype="130" unbalanced="0"/>
    <cacheHierarchy uniqueName="[HollywoodsMostProfitableStories].[Audience  score %]" caption="Audience  score %" attribute="1" defaultMemberUniqueName="[HollywoodsMostProfitableStories].[Audience  score %].[All]" allUniqueName="[HollywoodsMostProfitableStories].[Audience  score %].[All]" dimensionUniqueName="[HollywoodsMostProfitableStories]" displayFolder="" count="0" memberValueDatatype="20" unbalanced="0"/>
    <cacheHierarchy uniqueName="[HollywoodsMostProfitableStories].[Profitability]" caption="Profitability" attribute="1" defaultMemberUniqueName="[HollywoodsMostProfitableStories].[Profitability].[All]" allUniqueName="[HollywoodsMostProfitableStories].[Profitability].[All]" dimensionUniqueName="[HollywoodsMostProfitableStories]" displayFolder="" count="0" memberValueDatatype="5" unbalanced="0"/>
    <cacheHierarchy uniqueName="[HollywoodsMostProfitableStories].[Rotten Tomatoes %]" caption="Rotten Tomatoes %" attribute="1" defaultMemberUniqueName="[HollywoodsMostProfitableStories].[Rotten Tomatoes %].[All]" allUniqueName="[HollywoodsMostProfitableStories].[Rotten Tomatoes %].[All]" dimensionUniqueName="[HollywoodsMostProfitableStories]" displayFolder="" count="0" memberValueDatatype="20" unbalanced="0"/>
    <cacheHierarchy uniqueName="[HollywoodsMostProfitableStories].[Worldwide Gross]" caption="Worldwide Gross" attribute="1" defaultMemberUniqueName="[HollywoodsMostProfitableStories].[Worldwide Gross].[All]" allUniqueName="[HollywoodsMostProfitableStories].[Worldwide Gross].[All]" dimensionUniqueName="[HollywoodsMostProfitableStories]" displayFolder="" count="0" memberValueDatatype="5" unbalanced="0"/>
    <cacheHierarchy uniqueName="[HollywoodsMostProfitableStories].[Year]" caption="Year" attribute="1" defaultMemberUniqueName="[HollywoodsMostProfitableStories].[Year].[All]" allUniqueName="[HollywoodsMostProfitableStories].[Year].[All]" dimensionUniqueName="[HollywoodsMostProfitableStories]" displayFolder="" count="0" memberValueDatatype="20" unbalanced="0"/>
    <cacheHierarchy uniqueName="[HollywoodsMostProfitableStories].[Group by Audience score]" caption="Group by Audience score" attribute="1" defaultMemberUniqueName="[HollywoodsMostProfitableStories].[Group by Audience score].[All]" allUniqueName="[HollywoodsMostProfitableStories].[Group by Audience score].[All]" dimensionUniqueName="[HollywoodsMostProfitableStories]" displayFolder="" count="2" memberValueDatatype="130" unbalanced="0">
      <fieldsUsage count="2">
        <fieldUsage x="-1"/>
        <fieldUsage x="0"/>
      </fieldsUsage>
    </cacheHierarchy>
    <cacheHierarchy uniqueName="[Measures].[__XL_Count HollywoodsMostProfitableStories]" caption="__XL_Count HollywoodsMostProfitableStories" measure="1" displayFolder="" measureGroup="HollywoodsMostProfitableStories" count="0" hidden="1"/>
    <cacheHierarchy uniqueName="[Measures].[__No measures defined]" caption="__No measures defined" measure="1" displayFolder="" count="0" hidden="1"/>
    <cacheHierarchy uniqueName="[Measures].[Sum of Profitability]" caption="Sum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ability]" caption="Average of Profitability" measure="1" displayFolder="" measureGroup="HollywoodsMostProfitableStori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ability]" caption="Max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Genre]" caption="Count of Genre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Year]" caption="Sum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Year]" caption="Count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Year]" caption="Average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Var of Profitability]" caption="Var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udience  score %]" caption="Sum of Audience  score %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udience  score %]" caption="Average of Audience  score %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HollywoodsMostProfitableStories" uniqueName="[HollywoodsMostProfitableStories]" caption="HollywoodsMostProfitableStories"/>
    <dimension measure="1" name="Measures" uniqueName="[Measures]" caption="Measures"/>
  </dimensions>
  <measureGroups count="1">
    <measureGroup name="HollywoodsMostProfitableStories" caption="HollywoodsMostProfitableStori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il Taranenko" refreshedDate="46118.682125578707" backgroundQuery="1" createdVersion="8" refreshedVersion="8" minRefreshableVersion="3" recordCount="0" supportSubquery="1" supportAdvancedDrill="1" xr:uid="{94F4D6A0-FC29-4C7E-8663-20939E50FF10}">
  <cacheSource type="external" connectionId="2"/>
  <cacheFields count="3">
    <cacheField name="[HollywoodsMostProfitableStories].[Genre].[Genre]" caption="Genre" numFmtId="0" hierarchy="1" level="1">
      <sharedItems count="6">
        <s v="Action"/>
        <s v="Animation"/>
        <s v="Comedy"/>
        <s v="Drama"/>
        <s v="Fantasy"/>
        <s v="Romance"/>
      </sharedItems>
    </cacheField>
    <cacheField name="[HollywoodsMostProfitableStories].[Year].[Year]" caption="Year" numFmtId="0" hierarchy="7" level="1">
      <sharedItems containsSemiMixedTypes="0" containsString="0" containsNumber="1" containsInteger="1" minValue="2007" maxValue="2011" count="5">
        <n v="2007"/>
        <n v="2008"/>
        <n v="2009"/>
        <n v="2010"/>
        <n v="2011"/>
      </sharedItems>
      <extLst>
        <ext xmlns:x15="http://schemas.microsoft.com/office/spreadsheetml/2010/11/main" uri="{4F2E5C28-24EA-4eb8-9CBF-B6C8F9C3D259}">
          <x15:cachedUniqueNames>
            <x15:cachedUniqueName index="0" name="[HollywoodsMostProfitableStories].[Year].&amp;[2007]"/>
            <x15:cachedUniqueName index="1" name="[HollywoodsMostProfitableStories].[Year].&amp;[2008]"/>
            <x15:cachedUniqueName index="2" name="[HollywoodsMostProfitableStories].[Year].&amp;[2009]"/>
            <x15:cachedUniqueName index="3" name="[HollywoodsMostProfitableStories].[Year].&amp;[2010]"/>
            <x15:cachedUniqueName index="4" name="[HollywoodsMostProfitableStories].[Year].&amp;[2011]"/>
          </x15:cachedUniqueNames>
        </ext>
      </extLst>
    </cacheField>
    <cacheField name="[Measures].[Count of Genre]" caption="Count of Genre" numFmtId="0" hierarchy="14" level="32767"/>
  </cacheFields>
  <cacheHierarchies count="21">
    <cacheHierarchy uniqueName="[HollywoodsMostProfitableStories].[Film]" caption="Film" attribute="1" defaultMemberUniqueName="[HollywoodsMostProfitableStories].[Film].[All]" allUniqueName="[HollywoodsMostProfitableStories].[Film].[All]" dimensionUniqueName="[HollywoodsMostProfitableStories]" displayFolder="" count="0" memberValueDatatype="130" unbalanced="0"/>
    <cacheHierarchy uniqueName="[HollywoodsMostProfitableStories].[Genre]" caption="Genre" attribute="1" defaultMemberUniqueName="[HollywoodsMostProfitableStories].[Genre].[All]" allUniqueName="[HollywoodsMostProfitableStories].[Genre].[All]" dimensionUniqueName="[HollywoodsMostProfitableStories]" displayFolder="" count="2" memberValueDatatype="130" unbalanced="0">
      <fieldsUsage count="2">
        <fieldUsage x="-1"/>
        <fieldUsage x="0"/>
      </fieldsUsage>
    </cacheHierarchy>
    <cacheHierarchy uniqueName="[HollywoodsMostProfitableStories].[Lead Studio]" caption="Lead Studio" attribute="1" defaultMemberUniqueName="[HollywoodsMostProfitableStories].[Lead Studio].[All]" allUniqueName="[HollywoodsMostProfitableStories].[Lead Studio].[All]" dimensionUniqueName="[HollywoodsMostProfitableStories]" displayFolder="" count="0" memberValueDatatype="130" unbalanced="0"/>
    <cacheHierarchy uniqueName="[HollywoodsMostProfitableStories].[Audience  score %]" caption="Audience  score %" attribute="1" defaultMemberUniqueName="[HollywoodsMostProfitableStories].[Audience  score %].[All]" allUniqueName="[HollywoodsMostProfitableStories].[Audience  score %].[All]" dimensionUniqueName="[HollywoodsMostProfitableStories]" displayFolder="" count="0" memberValueDatatype="20" unbalanced="0"/>
    <cacheHierarchy uniqueName="[HollywoodsMostProfitableStories].[Profitability]" caption="Profitability" attribute="1" defaultMemberUniqueName="[HollywoodsMostProfitableStories].[Profitability].[All]" allUniqueName="[HollywoodsMostProfitableStories].[Profitability].[All]" dimensionUniqueName="[HollywoodsMostProfitableStories]" displayFolder="" count="0" memberValueDatatype="5" unbalanced="0"/>
    <cacheHierarchy uniqueName="[HollywoodsMostProfitableStories].[Rotten Tomatoes %]" caption="Rotten Tomatoes %" attribute="1" defaultMemberUniqueName="[HollywoodsMostProfitableStories].[Rotten Tomatoes %].[All]" allUniqueName="[HollywoodsMostProfitableStories].[Rotten Tomatoes %].[All]" dimensionUniqueName="[HollywoodsMostProfitableStories]" displayFolder="" count="0" memberValueDatatype="20" unbalanced="0"/>
    <cacheHierarchy uniqueName="[HollywoodsMostProfitableStories].[Worldwide Gross]" caption="Worldwide Gross" attribute="1" defaultMemberUniqueName="[HollywoodsMostProfitableStories].[Worldwide Gross].[All]" allUniqueName="[HollywoodsMostProfitableStories].[Worldwide Gross].[All]" dimensionUniqueName="[HollywoodsMostProfitableStories]" displayFolder="" count="0" memberValueDatatype="5" unbalanced="0"/>
    <cacheHierarchy uniqueName="[HollywoodsMostProfitableStories].[Year]" caption="Year" attribute="1" defaultMemberUniqueName="[HollywoodsMostProfitableStories].[Year].[All]" allUniqueName="[HollywoodsMostProfitableStories].[Year].[All]" dimensionUniqueName="[HollywoodsMostProfitableStories]" displayFolder="" count="2" memberValueDatatype="20" unbalanced="0">
      <fieldsUsage count="2">
        <fieldUsage x="-1"/>
        <fieldUsage x="1"/>
      </fieldsUsage>
    </cacheHierarchy>
    <cacheHierarchy uniqueName="[HollywoodsMostProfitableStories].[Group by Audience score]" caption="Group by Audience score" attribute="1" defaultMemberUniqueName="[HollywoodsMostProfitableStories].[Group by Audience score].[All]" allUniqueName="[HollywoodsMostProfitableStories].[Group by Audience score].[All]" dimensionUniqueName="[HollywoodsMostProfitableStories]" displayFolder="" count="0" memberValueDatatype="130" unbalanced="0"/>
    <cacheHierarchy uniqueName="[Measures].[__XL_Count HollywoodsMostProfitableStories]" caption="__XL_Count HollywoodsMostProfitableStories" measure="1" displayFolder="" measureGroup="HollywoodsMostProfitableStories" count="0" hidden="1"/>
    <cacheHierarchy uniqueName="[Measures].[__No measures defined]" caption="__No measures defined" measure="1" displayFolder="" count="0" hidden="1"/>
    <cacheHierarchy uniqueName="[Measures].[Sum of Profitability]" caption="Sum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ability]" caption="Average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ability]" caption="Max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Genre]" caption="Count of Genre" measure="1" displayFolder="" measureGroup="HollywoodsMostProfitableStori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Year]" caption="Sum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Year]" caption="Count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Year]" caption="Average of Year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Var of Profitability]" caption="Var of Profitability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udience  score %]" caption="Sum of Audience  score %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udience  score %]" caption="Average of Audience  score %" measure="1" displayFolder="" measureGroup="HollywoodsMostProfitableSt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HollywoodsMostProfitableStories" uniqueName="[HollywoodsMostProfitableStories]" caption="HollywoodsMostProfitableStories"/>
    <dimension measure="1" name="Measures" uniqueName="[Measures]" caption="Measures"/>
  </dimensions>
  <measureGroups count="1">
    <measureGroup name="HollywoodsMostProfitableStories" caption="HollywoodsMostProfitableStori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27 Dresses"/>
    <x v="0"/>
    <s v="Fox"/>
    <n v="71"/>
    <s v="5.3436218"/>
    <n v="40"/>
    <s v="160.308654"/>
    <n v="2008"/>
    <x v="0"/>
  </r>
  <r>
    <s v="(500) Days of Summer"/>
    <x v="0"/>
    <s v="Fox"/>
    <n v="81"/>
    <s v="8.096"/>
    <n v="87"/>
    <s v="60.72"/>
    <n v="2009"/>
    <x v="0"/>
  </r>
  <r>
    <s v="A Dangerous Method"/>
    <x v="1"/>
    <s v="Independent"/>
    <n v="89"/>
    <s v="0.44864475"/>
    <n v="79"/>
    <s v="8.972895"/>
    <n v="2011"/>
    <x v="0"/>
  </r>
  <r>
    <s v="A Serious Man"/>
    <x v="1"/>
    <s v="Universal"/>
    <n v="64"/>
    <s v="4.382857143"/>
    <n v="89"/>
    <s v="30.68"/>
    <n v="2009"/>
    <x v="1"/>
  </r>
  <r>
    <s v="Across the Universe"/>
    <x v="2"/>
    <s v="Independent"/>
    <n v="84"/>
    <s v="0.652603178"/>
    <n v="54"/>
    <s v="29.367143"/>
    <n v="2007"/>
    <x v="0"/>
  </r>
  <r>
    <s v="Beginners"/>
    <x v="0"/>
    <s v="Independent"/>
    <n v="80"/>
    <s v="4.471875"/>
    <n v="84"/>
    <s v="14.31"/>
    <n v="2011"/>
    <x v="0"/>
  </r>
  <r>
    <s v="Dear John"/>
    <x v="1"/>
    <s v="Sony"/>
    <n v="66"/>
    <s v="4.5988"/>
    <n v="29"/>
    <s v="114.97"/>
    <n v="2010"/>
    <x v="0"/>
  </r>
  <r>
    <s v="Enchanted"/>
    <x v="0"/>
    <s v="Disney"/>
    <n v="80"/>
    <s v="4.005737082"/>
    <n v="93"/>
    <s v="340.487652"/>
    <n v="2007"/>
    <x v="0"/>
  </r>
  <r>
    <s v="Fireproof"/>
    <x v="1"/>
    <s v="Independent"/>
    <n v="51"/>
    <s v="66.934"/>
    <n v="40"/>
    <s v="33.467"/>
    <n v="2008"/>
    <x v="1"/>
  </r>
  <r>
    <s v="Four Christmases"/>
    <x v="0"/>
    <s v="Warner Bros."/>
    <n v="52"/>
    <s v="2.022925"/>
    <n v="26"/>
    <s v="161.834"/>
    <n v="2008"/>
    <x v="1"/>
  </r>
  <r>
    <s v="Ghosts of Girlfriends Past"/>
    <x v="0"/>
    <s v="Warner Bros."/>
    <n v="47"/>
    <s v="2.0444"/>
    <n v="27"/>
    <s v="102.22"/>
    <n v="2009"/>
    <x v="1"/>
  </r>
  <r>
    <s v="Gnomeo and Juliet"/>
    <x v="3"/>
    <s v="Disney"/>
    <n v="52"/>
    <s v="5.387972222"/>
    <n v="56"/>
    <s v="193.967"/>
    <n v="2011"/>
    <x v="1"/>
  </r>
  <r>
    <s v="Going the Distance"/>
    <x v="0"/>
    <s v="Warner Bros."/>
    <n v="56"/>
    <s v="1.3140625"/>
    <n v="53"/>
    <s v="42.05"/>
    <n v="2010"/>
    <x v="1"/>
  </r>
  <r>
    <s v="Good Luck Chuck"/>
    <x v="0"/>
    <s v="Lionsgate"/>
    <n v="61"/>
    <s v="2.36768512"/>
    <n v="3"/>
    <s v="59.192128"/>
    <n v="2007"/>
    <x v="1"/>
  </r>
  <r>
    <s v="He's Just Not That Into You"/>
    <x v="0"/>
    <s v="Warner Bros."/>
    <n v="60"/>
    <s v="7.1536"/>
    <n v="42"/>
    <s v="178.84"/>
    <n v="2009"/>
    <x v="1"/>
  </r>
  <r>
    <s v="High School Musical 3: Senior Year"/>
    <x v="0"/>
    <s v="Disney"/>
    <n v="76"/>
    <s v="22.91313646"/>
    <n v="65"/>
    <s v="252.044501"/>
    <n v="2008"/>
    <x v="0"/>
  </r>
  <r>
    <s v="I Love You Phillip Morris"/>
    <x v="0"/>
    <s v="Independent"/>
    <n v="57"/>
    <s v="1.34"/>
    <n v="71"/>
    <s v="20.1"/>
    <n v="2010"/>
    <x v="1"/>
  </r>
  <r>
    <s v="It's Complicated"/>
    <x v="0"/>
    <s v="Universal"/>
    <n v="63"/>
    <s v="2.642352941"/>
    <n v="56"/>
    <s v="224.6"/>
    <n v="2009"/>
    <x v="1"/>
  </r>
  <r>
    <s v="Just Wright"/>
    <x v="0"/>
    <s v="Fox"/>
    <n v="58"/>
    <s v="1.797416667"/>
    <n v="45"/>
    <s v="21.569"/>
    <n v="2010"/>
    <x v="1"/>
  </r>
  <r>
    <s v="Killers"/>
    <x v="4"/>
    <s v="Lionsgate"/>
    <n v="45"/>
    <s v="1.245333333"/>
    <n v="11"/>
    <s v="93.4"/>
    <n v="2010"/>
    <x v="1"/>
  </r>
  <r>
    <s v="Knocked Up"/>
    <x v="0"/>
    <s v="Universal"/>
    <n v="83"/>
    <s v="6.636401848"/>
    <n v="91"/>
    <s v="219.001261"/>
    <n v="2007"/>
    <x v="0"/>
  </r>
  <r>
    <s v="Leap Year"/>
    <x v="0"/>
    <s v="Universal"/>
    <n v="49"/>
    <s v="1.715263158"/>
    <n v="21"/>
    <s v="32.59"/>
    <n v="2010"/>
    <x v="1"/>
  </r>
  <r>
    <s v="Letters to Juliet"/>
    <x v="0"/>
    <s v="Summit"/>
    <n v="62"/>
    <s v="2.639333333"/>
    <n v="40"/>
    <s v="79.18"/>
    <n v="2010"/>
    <x v="1"/>
  </r>
  <r>
    <s v="License to Wed"/>
    <x v="0"/>
    <s v="Warner Bros."/>
    <n v="55"/>
    <s v="1.9802064"/>
    <n v="8"/>
    <s v="69.307224"/>
    <n v="2007"/>
    <x v="1"/>
  </r>
  <r>
    <s v="Life as We Know It"/>
    <x v="0"/>
    <s v="Independent"/>
    <n v="62"/>
    <s v="2.530526316"/>
    <n v="28"/>
    <s v="96.16"/>
    <n v="2010"/>
    <x v="1"/>
  </r>
  <r>
    <s v="Love &amp; Other Drugs"/>
    <x v="0"/>
    <s v="Fox"/>
    <n v="55"/>
    <s v="1.817666667"/>
    <n v="48"/>
    <s v="54.53"/>
    <n v="2010"/>
    <x v="1"/>
  </r>
  <r>
    <s v="Love Happens"/>
    <x v="1"/>
    <s v="Universal"/>
    <n v="40"/>
    <s v="2.004444444"/>
    <n v="18"/>
    <s v="36.08"/>
    <n v="2009"/>
    <x v="1"/>
  </r>
  <r>
    <s v="Made of Honor"/>
    <x v="0"/>
    <s v="Sony"/>
    <n v="61"/>
    <s v="2.64906835"/>
    <n v="13"/>
    <s v="105.962734"/>
    <n v="2008"/>
    <x v="1"/>
  </r>
  <r>
    <s v="Mamma Mia!"/>
    <x v="0"/>
    <s v="Universal"/>
    <n v="76"/>
    <s v="9.234453864"/>
    <n v="53"/>
    <s v="609.473955"/>
    <n v="2008"/>
    <x v="0"/>
  </r>
  <r>
    <s v="Marley and Me"/>
    <x v="0"/>
    <s v="Fox"/>
    <n v="77"/>
    <s v="3.746781818"/>
    <n v="63"/>
    <s v="206.073"/>
    <n v="2008"/>
    <x v="0"/>
  </r>
  <r>
    <s v="Midnight in Paris"/>
    <x v="2"/>
    <s v="Sony"/>
    <n v="84"/>
    <s v="8.744705882"/>
    <n v="93"/>
    <s v="148.66"/>
    <n v="2011"/>
    <x v="0"/>
  </r>
  <r>
    <s v="Miss Pettigrew Lives for a Day"/>
    <x v="0"/>
    <s v="Independent"/>
    <n v="70"/>
    <s v="0.2528949"/>
    <n v="78"/>
    <s v="15.173694"/>
    <n v="2008"/>
    <x v="0"/>
  </r>
  <r>
    <s v="Monte Carlo"/>
    <x v="2"/>
    <s v="20th Century Fox"/>
    <n v="50"/>
    <s v="1.9832"/>
    <n v="38"/>
    <s v="39.664"/>
    <n v="2011"/>
    <x v="1"/>
  </r>
  <r>
    <s v="Music and Lyrics"/>
    <x v="2"/>
    <s v="Warner Bros."/>
    <n v="70"/>
    <s v="3.64741055"/>
    <n v="63"/>
    <s v="145.896422"/>
    <n v="2007"/>
    <x v="0"/>
  </r>
  <r>
    <s v="My Week with Marilyn"/>
    <x v="1"/>
    <s v="The Weinstein Company"/>
    <n v="84"/>
    <s v="0.8258"/>
    <n v="83"/>
    <s v="8.258"/>
    <n v="2011"/>
    <x v="0"/>
  </r>
  <r>
    <s v="New Year's Eve"/>
    <x v="2"/>
    <s v="Warner Bros."/>
    <n v="48"/>
    <s v="2.536428571"/>
    <n v="8"/>
    <s v="142.04"/>
    <n v="2011"/>
    <x v="1"/>
  </r>
  <r>
    <s v="Nick and Norah's Infinite Playlist"/>
    <x v="0"/>
    <s v="Sony"/>
    <n v="67"/>
    <s v="3.3527293"/>
    <n v="73"/>
    <s v="33.527293"/>
    <n v="2008"/>
    <x v="0"/>
  </r>
  <r>
    <s v="Not Easily Broken"/>
    <x v="1"/>
    <s v="Independent"/>
    <n v="66"/>
    <s v="2.14"/>
    <n v="34"/>
    <s v="10.7"/>
    <n v="2009"/>
    <x v="0"/>
  </r>
  <r>
    <s v="One Day"/>
    <x v="2"/>
    <s v="Independent"/>
    <n v="54"/>
    <s v="3.682733333"/>
    <n v="37"/>
    <s v="55.241"/>
    <n v="2011"/>
    <x v="1"/>
  </r>
  <r>
    <s v="Over Her Dead Body"/>
    <x v="0"/>
    <s v="New Line"/>
    <n v="47"/>
    <s v="2.071"/>
    <n v="15"/>
    <s v="20.71"/>
    <n v="2008"/>
    <x v="1"/>
  </r>
  <r>
    <s v="P.S. I Love You"/>
    <x v="2"/>
    <s v="Independent"/>
    <n v="82"/>
    <s v="5.103116833"/>
    <n v="21"/>
    <s v="153.093505"/>
    <n v="2007"/>
    <x v="0"/>
  </r>
  <r>
    <s v="Penelope"/>
    <x v="0"/>
    <s v="Summit"/>
    <n v="74"/>
    <s v="1.382799733"/>
    <n v="52"/>
    <s v="20.741996"/>
    <n v="2008"/>
    <x v="0"/>
  </r>
  <r>
    <s v="Rachel Getting Married"/>
    <x v="1"/>
    <s v="Independent"/>
    <n v="61"/>
    <s v="1.384166667"/>
    <n v="85"/>
    <s v="16.61"/>
    <n v="2008"/>
    <x v="1"/>
  </r>
  <r>
    <s v="Remember Me"/>
    <x v="1"/>
    <s v="Summit"/>
    <n v="70"/>
    <s v="3.49125"/>
    <n v="28"/>
    <s v="55.86"/>
    <n v="2010"/>
    <x v="0"/>
  </r>
  <r>
    <s v="Sex and the City"/>
    <x v="0"/>
    <s v="Warner Bros."/>
    <n v="81"/>
    <s v="7.221795791"/>
    <n v="49"/>
    <s v="415.253258"/>
    <n v="2008"/>
    <x v="0"/>
  </r>
  <r>
    <s v="Sex and the City 2"/>
    <x v="0"/>
    <s v="Warner Bros."/>
    <n v="49"/>
    <s v="2.8835"/>
    <n v="15"/>
    <s v="288.35"/>
    <n v="2010"/>
    <x v="1"/>
  </r>
  <r>
    <s v="She's Out of My League"/>
    <x v="0"/>
    <s v="Paramount"/>
    <n v="60"/>
    <s v="2.4405"/>
    <n v="57"/>
    <s v="48.81"/>
    <n v="2010"/>
    <x v="1"/>
  </r>
  <r>
    <s v="Tangled"/>
    <x v="3"/>
    <s v="Disney"/>
    <n v="88"/>
    <s v="1.365692308"/>
    <n v="89"/>
    <s v="355.08"/>
    <n v="2010"/>
    <x v="0"/>
  </r>
  <r>
    <s v="The Back-up Plan"/>
    <x v="0"/>
    <s v="CBS"/>
    <n v="47"/>
    <s v="2.202571429"/>
    <n v="20"/>
    <s v="77.09"/>
    <n v="2010"/>
    <x v="1"/>
  </r>
  <r>
    <s v="The Curious Case of Benjamin Button"/>
    <x v="5"/>
    <s v="Warner Bros."/>
    <n v="81"/>
    <s v="1.78394375"/>
    <n v="73"/>
    <s v="285.431"/>
    <n v="2008"/>
    <x v="0"/>
  </r>
  <r>
    <s v="The Duchess"/>
    <x v="1"/>
    <s v="Paramount"/>
    <n v="68"/>
    <s v="3.207850222"/>
    <n v="60"/>
    <s v="43.305978"/>
    <n v="2008"/>
    <x v="0"/>
  </r>
  <r>
    <s v="The Heartbreak Kid"/>
    <x v="0"/>
    <s v="Paramount"/>
    <n v="41"/>
    <s v="2.129444167"/>
    <n v="30"/>
    <s v="127.76665"/>
    <n v="2007"/>
    <x v="1"/>
  </r>
  <r>
    <s v="The Invention of Lying"/>
    <x v="0"/>
    <s v="Warner Bros."/>
    <n v="47"/>
    <s v="1.751351351"/>
    <n v="56"/>
    <s v="32.4"/>
    <n v="2009"/>
    <x v="1"/>
  </r>
  <r>
    <s v="The Proposal"/>
    <x v="0"/>
    <s v="Disney"/>
    <n v="74"/>
    <s v="7.8675"/>
    <n v="43"/>
    <s v="314.7"/>
    <n v="2009"/>
    <x v="0"/>
  </r>
  <r>
    <s v="The Time Traveler's Wife"/>
    <x v="1"/>
    <s v="Paramount"/>
    <n v="65"/>
    <s v="2.598205128"/>
    <n v="38"/>
    <s v="101.33"/>
    <n v="2009"/>
    <x v="0"/>
  </r>
  <r>
    <s v="The Twilight Saga: New Moon"/>
    <x v="1"/>
    <s v="Summit"/>
    <n v="78"/>
    <s v="14.1964"/>
    <n v="27"/>
    <s v="709.82"/>
    <n v="2009"/>
    <x v="0"/>
  </r>
  <r>
    <s v="The Ugly Truth"/>
    <x v="0"/>
    <s v="Independent"/>
    <n v="68"/>
    <s v="5.402631579"/>
    <n v="14"/>
    <s v="205.3"/>
    <n v="2009"/>
    <x v="0"/>
  </r>
  <r>
    <s v="Twilight"/>
    <x v="2"/>
    <s v="Summit"/>
    <n v="82"/>
    <s v="10.18002703"/>
    <n v="49"/>
    <s v="376.661"/>
    <n v="2008"/>
    <x v="0"/>
  </r>
  <r>
    <s v="Twilight: Breaking Dawn"/>
    <x v="2"/>
    <s v="Independent"/>
    <n v="68"/>
    <s v="6.383363636"/>
    <n v="26"/>
    <s v="702.17"/>
    <n v="2011"/>
    <x v="0"/>
  </r>
  <r>
    <s v="Tyler Perry's Why Did I get Married"/>
    <x v="2"/>
    <s v="Independent"/>
    <n v="47"/>
    <s v="3.7241924"/>
    <n v="46"/>
    <s v="55.862886"/>
    <n v="2007"/>
    <x v="1"/>
  </r>
  <r>
    <s v="Valentine's Day"/>
    <x v="0"/>
    <s v="Warner Bros."/>
    <n v="54"/>
    <s v="4.184038462"/>
    <n v="17"/>
    <s v="217.57"/>
    <n v="2010"/>
    <x v="1"/>
  </r>
  <r>
    <s v="Waiting For Forever"/>
    <x v="2"/>
    <s v="Independent"/>
    <n v="53"/>
    <s v="0.005"/>
    <n v="6"/>
    <s v="0.025"/>
    <n v="2011"/>
    <x v="1"/>
  </r>
  <r>
    <s v="Waitress"/>
    <x v="2"/>
    <s v="Independent"/>
    <n v="67"/>
    <s v="11.0897415"/>
    <n v="89"/>
    <s v="22.179483"/>
    <n v="2007"/>
    <x v="0"/>
  </r>
  <r>
    <s v="WALL-E"/>
    <x v="3"/>
    <s v="Disney"/>
    <n v="89"/>
    <s v="2.896019067"/>
    <n v="96"/>
    <s v="521.283432"/>
    <n v="2008"/>
    <x v="0"/>
  </r>
  <r>
    <s v="Water For Elephants"/>
    <x v="1"/>
    <s v="20th Century Fox"/>
    <n v="72"/>
    <s v="3.081421053"/>
    <n v="60"/>
    <s v="117.094"/>
    <n v="2011"/>
    <x v="0"/>
  </r>
  <r>
    <s v="What Happens in Vegas"/>
    <x v="0"/>
    <s v="Fox"/>
    <n v="72"/>
    <s v="6.267647029"/>
    <n v="28"/>
    <s v="219.367646"/>
    <n v="2008"/>
    <x v="0"/>
  </r>
  <r>
    <s v="You Will Meet a Tall Dark Stranger"/>
    <x v="0"/>
    <s v="Independent"/>
    <n v="35"/>
    <s v="1.211818182"/>
    <n v="43"/>
    <s v="26.66"/>
    <n v="2010"/>
    <x v="1"/>
  </r>
  <r>
    <s v="Youth in Revolt"/>
    <x v="0"/>
    <s v="The Weinstein Company"/>
    <n v="52"/>
    <s v="1.09"/>
    <n v="68"/>
    <s v="19.62"/>
    <n v="2010"/>
    <x v="1"/>
  </r>
  <r>
    <s v="Zack and Miri Make a Porno"/>
    <x v="2"/>
    <s v="The Weinstein Company"/>
    <n v="70"/>
    <s v="1.747541667"/>
    <n v="64"/>
    <s v="41.941"/>
    <n v="200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3BE63-2453-425A-9126-03984071C061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udience  score %" fld="1" subtotal="average" baseField="0" baseItem="0" numFmtId="2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udience  score %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norm.xlsx!HollywoodsMostProfitableStories">
        <x15:activeTabTopLevelEntity name="[HollywoodsMostProfitableSt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76993-DA27-4055-9C00-641FDB44528C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Profitability" fld="1" subtotal="average" baseField="0" baseItem="0" numFmtId="2"/>
  </dataFields>
  <formats count="1">
    <format dxfId="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ofitability"/>
    <pivotHierarchy dragToData="1" caption="Max of Profitability"/>
    <pivotHierarchy dragToData="1"/>
    <pivotHierarchy dragToData="1"/>
    <pivotHierarchy dragToData="1"/>
    <pivotHierarchy dragToData="1"/>
    <pivotHierarchy dragToData="1" caption="Var of Profitabil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norm.xlsx!HollywoodsMostProfitableStories">
        <x15:activeTabTopLevelEntity name="[HollywoodsMostProfitableSt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0F30F-1768-444E-BCB6-023F22E4B516}" name="PivotTable2" cacheId="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3:G11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Genre" fld="2" subtotal="count" baseField="0" baseItem="0"/>
  </dataFields>
  <chartFormats count="48">
    <chartFormat chart="1" format="1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1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1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1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Year"/>
    <pivotHierarchy dragToData="1" caption="Average of Yea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norm.xlsx!HollywoodsMostProfitableStories">
        <x15:activeTabTopLevelEntity name="[HollywoodsMostProfitableSt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2244D-9FF0-4C7D-925D-49D499F26F1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4" firstHeaderRow="0" firstDataRow="1" firstDataCol="0"/>
  <pivotFields count="9">
    <pivotField showAll="0"/>
    <pivotField showAll="0">
      <items count="7">
        <item x="4"/>
        <item x="3"/>
        <item x="0"/>
        <item x="1"/>
        <item x="5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Audience  score %" fld="3" subtotal="count" baseField="8" baseItem="0"/>
    <dataField name="Max. of Audience  score %" fld="3" subtotal="max" baseField="8" baseItem="0"/>
    <dataField name="Min. of Audience  score %" fld="3" subtotal="min" baseField="8" baseItem="0"/>
    <dataField name="Average of Audience  score %" fld="3" subtotal="average" baseField="8" baseItem="0"/>
    <dataField name="StdDev of Audience  score %" fld="3" subtotal="stdDev" baseField="0" baseItem="1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0C991-F08A-4A9D-897C-68352A8918F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9">
    <pivotField showAll="0"/>
    <pivotField axis="axisRow" dataField="1" showAll="0">
      <items count="7">
        <item x="4"/>
        <item x="3"/>
        <item x="0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Genr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975458-2237-4CC5-BFF2-9DECCD0634BB}" autoFormatId="16" applyNumberFormats="0" applyBorderFormats="0" applyFontFormats="0" applyPatternFormats="0" applyAlignmentFormats="0" applyWidthHeightFormats="0">
  <queryTableRefresh nextId="12" unboundColumnsRight="1">
    <queryTableFields count="9">
      <queryTableField id="1" name="Film" tableColumnId="1"/>
      <queryTableField id="2" name="Genre" tableColumnId="2"/>
      <queryTableField id="3" name="Lead Studio" tableColumnId="3"/>
      <queryTableField id="4" name="Audience  score %" tableColumnId="4"/>
      <queryTableField id="5" name="Profitability" tableColumnId="5"/>
      <queryTableField id="6" name="Rotten Tomatoes %" tableColumnId="6"/>
      <queryTableField id="7" name="Worldwide Gross" tableColumnId="7"/>
      <queryTableField id="8" name="Year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E71A6-286E-40E0-8EC5-3347C4A9DC82}" name="HollywoodsMostProfitableStories" displayName="HollywoodsMostProfitableStories" ref="A1:I70" tableType="queryTable" totalsRowShown="0">
  <autoFilter ref="A1:I70" xr:uid="{796E71A6-286E-40E0-8EC5-3347C4A9DC82}"/>
  <tableColumns count="9">
    <tableColumn id="1" xr3:uid="{0A1B0763-9985-4B7E-A3E8-8B8A82993853}" uniqueName="1" name="Film" queryTableFieldId="1" dataDxfId="15"/>
    <tableColumn id="2" xr3:uid="{525BB5F7-8C64-4EBE-B820-8784DE597049}" uniqueName="2" name="Genre" queryTableFieldId="2" dataDxfId="14"/>
    <tableColumn id="3" xr3:uid="{5A5DC4B0-B948-445C-8307-C7A5B9DF4BEC}" uniqueName="3" name="Lead Studio" queryTableFieldId="3" dataDxfId="13"/>
    <tableColumn id="4" xr3:uid="{A4804B3A-B4DC-4777-BA75-0E164DB562B2}" uniqueName="4" name="Audience  score %" queryTableFieldId="4"/>
    <tableColumn id="5" xr3:uid="{F8B53CF4-83E0-431F-B389-F77CB367BDE8}" uniqueName="5" name="Profitability" queryTableFieldId="5" dataDxfId="12"/>
    <tableColumn id="6" xr3:uid="{0607CC94-5E90-4154-840F-64D130194A0E}" uniqueName="6" name="Rotten Tomatoes %" queryTableFieldId="6"/>
    <tableColumn id="7" xr3:uid="{2F905BC3-B119-42C4-9508-A08A41EE6779}" uniqueName="7" name="Worldwide Gross" queryTableFieldId="7" dataDxfId="11"/>
    <tableColumn id="8" xr3:uid="{B38FB364-31FA-4D50-BC30-5D0AB0B15A59}" uniqueName="8" name="Year" queryTableFieldId="8"/>
    <tableColumn id="9" xr3:uid="{E9254FA1-0300-4823-8600-CAF3F3734012}" uniqueName="9" name="Group by Audience score" queryTableFieldId="9" dataDxfId="10">
      <calculatedColumnFormula>IF(HollywoodsMostProfitableStories[[#This Row],[Audience  score %]]&gt;AVERAGE(HollywoodsMostProfitableStories[Audience  score %]), "High score","Low score" 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1409-DDB9-4BF1-906F-517C19D3630E}">
  <dimension ref="A3:B9"/>
  <sheetViews>
    <sheetView tabSelected="1" workbookViewId="0">
      <selection activeCell="P31" sqref="P31"/>
    </sheetView>
  </sheetViews>
  <sheetFormatPr defaultRowHeight="15" x14ac:dyDescent="0.25"/>
  <cols>
    <col min="1" max="1" width="13.42578125" bestFit="1" customWidth="1"/>
    <col min="2" max="2" width="27.7109375" bestFit="1" customWidth="1"/>
  </cols>
  <sheetData>
    <row r="3" spans="1:2" x14ac:dyDescent="0.25">
      <c r="A3" s="2" t="s">
        <v>103</v>
      </c>
      <c r="B3" t="s">
        <v>114</v>
      </c>
    </row>
    <row r="4" spans="1:2" x14ac:dyDescent="0.25">
      <c r="A4" s="3">
        <v>2007</v>
      </c>
      <c r="B4" s="4">
        <v>67</v>
      </c>
    </row>
    <row r="5" spans="1:2" x14ac:dyDescent="0.25">
      <c r="A5" s="3">
        <v>2008</v>
      </c>
      <c r="B5" s="4">
        <v>69.78947368421052</v>
      </c>
    </row>
    <row r="6" spans="1:2" x14ac:dyDescent="0.25">
      <c r="A6" s="3">
        <v>2009</v>
      </c>
      <c r="B6" s="4">
        <v>62.75</v>
      </c>
    </row>
    <row r="7" spans="1:2" x14ac:dyDescent="0.25">
      <c r="A7" s="3">
        <v>2010</v>
      </c>
      <c r="B7" s="4">
        <v>56.764705882352942</v>
      </c>
    </row>
    <row r="8" spans="1:2" x14ac:dyDescent="0.25">
      <c r="A8" s="3">
        <v>2011</v>
      </c>
      <c r="B8" s="4">
        <v>66.727272727272734</v>
      </c>
    </row>
    <row r="9" spans="1:2" x14ac:dyDescent="0.25">
      <c r="A9" s="3" t="s">
        <v>104</v>
      </c>
      <c r="B9" s="4">
        <v>64.463768115942031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EC16-A9D3-42E2-A969-CB3D0E999EB0}">
  <dimension ref="A1:O70"/>
  <sheetViews>
    <sheetView topLeftCell="A2" zoomScaleNormal="100" workbookViewId="0">
      <selection activeCell="A2" sqref="A2:I70"/>
    </sheetView>
  </sheetViews>
  <sheetFormatPr defaultRowHeight="15" x14ac:dyDescent="0.25"/>
  <cols>
    <col min="1" max="1" width="34.140625" bestFit="1" customWidth="1"/>
    <col min="2" max="2" width="10.140625" bestFit="1" customWidth="1"/>
    <col min="3" max="3" width="22.42578125" bestFit="1" customWidth="1"/>
    <col min="4" max="4" width="19.85546875" bestFit="1" customWidth="1"/>
    <col min="5" max="5" width="13.85546875" style="4" bestFit="1" customWidth="1"/>
    <col min="6" max="6" width="21" bestFit="1" customWidth="1"/>
    <col min="7" max="7" width="20.5703125" style="5" bestFit="1" customWidth="1"/>
    <col min="8" max="8" width="7.28515625" bestFit="1" customWidth="1"/>
    <col min="9" max="9" width="26.140625" bestFit="1" customWidth="1"/>
    <col min="10" max="10" width="22.7109375" bestFit="1" customWidth="1"/>
    <col min="12" max="12" width="26.140625" bestFit="1" customWidth="1"/>
    <col min="13" max="13" width="19.7109375" bestFit="1" customWidth="1"/>
    <col min="14" max="14" width="20.42578125" bestFit="1" customWidth="1"/>
    <col min="15" max="15" width="1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s="5" t="s">
        <v>6</v>
      </c>
      <c r="H1" t="s">
        <v>7</v>
      </c>
      <c r="I1" t="s">
        <v>102</v>
      </c>
      <c r="K1" t="s">
        <v>101</v>
      </c>
    </row>
    <row r="2" spans="1:15" x14ac:dyDescent="0.25">
      <c r="A2" t="s">
        <v>8</v>
      </c>
      <c r="B2" t="s">
        <v>9</v>
      </c>
      <c r="C2" t="s">
        <v>10</v>
      </c>
      <c r="D2">
        <v>71</v>
      </c>
      <c r="E2" s="4">
        <v>5.3436218000000002</v>
      </c>
      <c r="F2">
        <v>40</v>
      </c>
      <c r="G2" s="6">
        <v>160.30865399999999</v>
      </c>
      <c r="H2">
        <v>2008</v>
      </c>
      <c r="I2" t="str">
        <f>IF(HollywoodsMostProfitableStories[[#This Row],[Audience  score %]]&gt;AVERAGE(HollywoodsMostProfitableStories[Audience  score %]), "High score","Low score" )</f>
        <v>High score</v>
      </c>
      <c r="K2" s="1">
        <f>AVERAGE(HollywoodsMostProfitableStories[Audience  score %])</f>
        <v>64.463768115942031</v>
      </c>
    </row>
    <row r="3" spans="1:15" x14ac:dyDescent="0.25">
      <c r="A3" t="s">
        <v>11</v>
      </c>
      <c r="B3" t="s">
        <v>9</v>
      </c>
      <c r="C3" t="s">
        <v>10</v>
      </c>
      <c r="D3">
        <v>81</v>
      </c>
      <c r="E3" s="4">
        <v>8.0960000000000001</v>
      </c>
      <c r="F3">
        <v>87</v>
      </c>
      <c r="G3" s="6">
        <v>60.72</v>
      </c>
      <c r="H3">
        <v>2009</v>
      </c>
      <c r="I3" t="str">
        <f>IF(HollywoodsMostProfitableStories[[#This Row],[Audience  score %]]&gt;AVERAGE(HollywoodsMostProfitableStories[Audience  score %]), "High score","Low score" )</f>
        <v>High score</v>
      </c>
      <c r="K3" t="s">
        <v>117</v>
      </c>
      <c r="L3" t="s">
        <v>118</v>
      </c>
      <c r="M3" t="s">
        <v>119</v>
      </c>
      <c r="N3" t="s">
        <v>99</v>
      </c>
      <c r="O3" t="s">
        <v>100</v>
      </c>
    </row>
    <row r="4" spans="1:15" x14ac:dyDescent="0.25">
      <c r="A4" t="s">
        <v>12</v>
      </c>
      <c r="B4" t="s">
        <v>13</v>
      </c>
      <c r="C4" t="s">
        <v>14</v>
      </c>
      <c r="D4">
        <v>89</v>
      </c>
      <c r="E4" s="4">
        <v>0.44864474999999998</v>
      </c>
      <c r="F4">
        <v>79</v>
      </c>
      <c r="G4" s="6">
        <v>8.9728949999999994</v>
      </c>
      <c r="H4">
        <v>2011</v>
      </c>
      <c r="I4" t="str">
        <f>IF(HollywoodsMostProfitableStories[[#This Row],[Audience  score %]]&gt;AVERAGE(HollywoodsMostProfitableStories[Audience  score %]), "High score","Low score" )</f>
        <v>High score</v>
      </c>
      <c r="K4" s="1">
        <f>QUARTILE(HollywoodsMostProfitableStories[Audience  score %],1)</f>
        <v>53</v>
      </c>
      <c r="L4" s="1">
        <f>QUARTILE(HollywoodsMostProfitableStories[Audience  score %],3)</f>
        <v>76</v>
      </c>
      <c r="M4" s="1">
        <f>L4-K4</f>
        <v>23</v>
      </c>
      <c r="N4" s="1">
        <f>K4 - (1.5 * M4)</f>
        <v>18.5</v>
      </c>
      <c r="O4" s="1">
        <f>L4 + (1.5 * M4)</f>
        <v>110.5</v>
      </c>
    </row>
    <row r="5" spans="1:15" x14ac:dyDescent="0.25">
      <c r="A5" t="s">
        <v>15</v>
      </c>
      <c r="B5" t="s">
        <v>13</v>
      </c>
      <c r="C5" t="s">
        <v>16</v>
      </c>
      <c r="D5">
        <v>64</v>
      </c>
      <c r="E5" s="4">
        <v>4.3828571429999998</v>
      </c>
      <c r="F5">
        <v>89</v>
      </c>
      <c r="G5" s="6">
        <v>30.68</v>
      </c>
      <c r="H5">
        <v>2009</v>
      </c>
      <c r="I5" t="str">
        <f>IF(HollywoodsMostProfitableStories[[#This Row],[Audience  score %]]&gt;AVERAGE(HollywoodsMostProfitableStories[Audience  score %]), "High score","Low score" )</f>
        <v>Low score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</row>
    <row r="6" spans="1:15" x14ac:dyDescent="0.25">
      <c r="A6" t="s">
        <v>17</v>
      </c>
      <c r="B6" t="s">
        <v>18</v>
      </c>
      <c r="C6" t="s">
        <v>14</v>
      </c>
      <c r="D6">
        <v>84</v>
      </c>
      <c r="E6" s="4">
        <v>0.65260317800000001</v>
      </c>
      <c r="F6">
        <v>54</v>
      </c>
      <c r="G6" s="6">
        <v>29.367142999999999</v>
      </c>
      <c r="H6">
        <v>2007</v>
      </c>
      <c r="I6" t="str">
        <f>IF(HollywoodsMostProfitableStories[[#This Row],[Audience  score %]]&gt;AVERAGE(HollywoodsMostProfitableStories[Audience  score %]), "High score","Low score" )</f>
        <v>High score</v>
      </c>
      <c r="K6" s="1">
        <f>QUARTILE(HollywoodsMostProfitableStories[Profitability],1)</f>
        <v>1.797416667</v>
      </c>
      <c r="L6" s="1">
        <f>QUARTILE(HollywoodsMostProfitableStories[Profitability],3)</f>
        <v>5.1031168329999996</v>
      </c>
      <c r="M6" s="1">
        <f>L6-K6</f>
        <v>3.3057001659999994</v>
      </c>
      <c r="N6" s="1">
        <f>K6 - (1.5 * M6)</f>
        <v>-3.1611335819999988</v>
      </c>
      <c r="O6" s="1">
        <f>L6 + (1.5 * M6)</f>
        <v>10.061667082</v>
      </c>
    </row>
    <row r="7" spans="1:15" x14ac:dyDescent="0.25">
      <c r="A7" t="s">
        <v>19</v>
      </c>
      <c r="B7" t="s">
        <v>9</v>
      </c>
      <c r="C7" t="s">
        <v>14</v>
      </c>
      <c r="D7">
        <v>80</v>
      </c>
      <c r="E7" s="4">
        <v>4.4718749999999998</v>
      </c>
      <c r="F7">
        <v>84</v>
      </c>
      <c r="G7" s="6">
        <v>14.31</v>
      </c>
      <c r="H7">
        <v>2011</v>
      </c>
      <c r="I7" t="str">
        <f>IF(HollywoodsMostProfitableStories[[#This Row],[Audience  score %]]&gt;AVERAGE(HollywoodsMostProfitableStories[Audience  score %]), "High score","Low score" )</f>
        <v>High score</v>
      </c>
    </row>
    <row r="8" spans="1:15" x14ac:dyDescent="0.25">
      <c r="A8" t="s">
        <v>20</v>
      </c>
      <c r="B8" t="s">
        <v>13</v>
      </c>
      <c r="C8" t="s">
        <v>21</v>
      </c>
      <c r="D8">
        <v>66</v>
      </c>
      <c r="E8" s="4">
        <v>4.5987999999999998</v>
      </c>
      <c r="F8">
        <v>29</v>
      </c>
      <c r="G8" s="6">
        <v>114.97</v>
      </c>
      <c r="H8">
        <v>2010</v>
      </c>
      <c r="I8" t="str">
        <f>IF(HollywoodsMostProfitableStories[[#This Row],[Audience  score %]]&gt;AVERAGE(HollywoodsMostProfitableStories[Audience  score %]), "High score","Low score" )</f>
        <v>High score</v>
      </c>
    </row>
    <row r="9" spans="1:15" x14ac:dyDescent="0.25">
      <c r="A9" t="s">
        <v>22</v>
      </c>
      <c r="B9" t="s">
        <v>9</v>
      </c>
      <c r="C9" t="s">
        <v>23</v>
      </c>
      <c r="D9">
        <v>80</v>
      </c>
      <c r="E9" s="4">
        <v>4.0057370819999996</v>
      </c>
      <c r="F9">
        <v>93</v>
      </c>
      <c r="G9" s="6">
        <v>340.48765200000003</v>
      </c>
      <c r="H9">
        <v>2007</v>
      </c>
      <c r="I9" t="str">
        <f>IF(HollywoodsMostProfitableStories[[#This Row],[Audience  score %]]&gt;AVERAGE(HollywoodsMostProfitableStories[Audience  score %]), "High score","Low score" )</f>
        <v>High score</v>
      </c>
    </row>
    <row r="10" spans="1:15" x14ac:dyDescent="0.25">
      <c r="A10" t="s">
        <v>24</v>
      </c>
      <c r="B10" t="s">
        <v>13</v>
      </c>
      <c r="C10" t="s">
        <v>14</v>
      </c>
      <c r="D10">
        <v>51</v>
      </c>
      <c r="E10" s="4">
        <v>66.933999999999997</v>
      </c>
      <c r="F10">
        <v>40</v>
      </c>
      <c r="G10" s="6">
        <v>33.466999999999999</v>
      </c>
      <c r="H10">
        <v>2008</v>
      </c>
      <c r="I10" t="str">
        <f>IF(HollywoodsMostProfitableStories[[#This Row],[Audience  score %]]&gt;AVERAGE(HollywoodsMostProfitableStories[Audience  score %]), "High score","Low score" )</f>
        <v>Low score</v>
      </c>
    </row>
    <row r="11" spans="1:15" x14ac:dyDescent="0.25">
      <c r="A11" t="s">
        <v>25</v>
      </c>
      <c r="B11" t="s">
        <v>9</v>
      </c>
      <c r="C11" t="s">
        <v>26</v>
      </c>
      <c r="D11">
        <v>52</v>
      </c>
      <c r="E11" s="4">
        <v>2.0229249999999999</v>
      </c>
      <c r="F11">
        <v>26</v>
      </c>
      <c r="G11" s="6">
        <v>161.834</v>
      </c>
      <c r="H11">
        <v>2008</v>
      </c>
      <c r="I11" t="str">
        <f>IF(HollywoodsMostProfitableStories[[#This Row],[Audience  score %]]&gt;AVERAGE(HollywoodsMostProfitableStories[Audience  score %]), "High score","Low score" )</f>
        <v>Low score</v>
      </c>
      <c r="K11" t="s">
        <v>108</v>
      </c>
    </row>
    <row r="12" spans="1:15" x14ac:dyDescent="0.25">
      <c r="A12" t="s">
        <v>27</v>
      </c>
      <c r="B12" t="s">
        <v>9</v>
      </c>
      <c r="C12" t="s">
        <v>26</v>
      </c>
      <c r="D12">
        <v>47</v>
      </c>
      <c r="E12" s="4">
        <v>2.0444</v>
      </c>
      <c r="F12">
        <v>27</v>
      </c>
      <c r="G12" s="6">
        <v>102.22</v>
      </c>
      <c r="H12">
        <v>2009</v>
      </c>
      <c r="I12" t="str">
        <f>IF(HollywoodsMostProfitableStories[[#This Row],[Audience  score %]]&gt;AVERAGE(HollywoodsMostProfitableStories[Audience  score %]), "High score","Low score" )</f>
        <v>Low score</v>
      </c>
      <c r="K12">
        <f>AVERAGE(HollywoodsMostProfitableStories[Profitability])</f>
        <v>4.8061971146956504</v>
      </c>
    </row>
    <row r="13" spans="1:15" x14ac:dyDescent="0.25">
      <c r="A13" t="s">
        <v>28</v>
      </c>
      <c r="B13" t="s">
        <v>29</v>
      </c>
      <c r="C13" t="s">
        <v>23</v>
      </c>
      <c r="D13">
        <v>52</v>
      </c>
      <c r="E13" s="4">
        <v>5.3879722220000001</v>
      </c>
      <c r="F13">
        <v>56</v>
      </c>
      <c r="G13" s="6">
        <v>193.96700000000001</v>
      </c>
      <c r="H13">
        <v>2011</v>
      </c>
      <c r="I13" t="str">
        <f>IF(HollywoodsMostProfitableStories[[#This Row],[Audience  score %]]&gt;AVERAGE(HollywoodsMostProfitableStories[Audience  score %]), "High score","Low score" )</f>
        <v>Low score</v>
      </c>
    </row>
    <row r="14" spans="1:15" x14ac:dyDescent="0.25">
      <c r="A14" t="s">
        <v>30</v>
      </c>
      <c r="B14" t="s">
        <v>9</v>
      </c>
      <c r="C14" t="s">
        <v>26</v>
      </c>
      <c r="D14">
        <v>56</v>
      </c>
      <c r="E14" s="4">
        <v>1.3140624999999999</v>
      </c>
      <c r="F14">
        <v>53</v>
      </c>
      <c r="G14" s="6">
        <v>42.05</v>
      </c>
      <c r="H14">
        <v>2010</v>
      </c>
      <c r="I14" t="str">
        <f>IF(HollywoodsMostProfitableStories[[#This Row],[Audience  score %]]&gt;AVERAGE(HollywoodsMostProfitableStories[Audience  score %]), "High score","Low score" )</f>
        <v>Low score</v>
      </c>
      <c r="K14" t="s">
        <v>116</v>
      </c>
    </row>
    <row r="15" spans="1:15" x14ac:dyDescent="0.25">
      <c r="A15" t="s">
        <v>31</v>
      </c>
      <c r="B15" t="s">
        <v>9</v>
      </c>
      <c r="C15" t="s">
        <v>32</v>
      </c>
      <c r="D15">
        <v>61</v>
      </c>
      <c r="E15" s="4">
        <v>2.36768512</v>
      </c>
      <c r="F15">
        <v>3</v>
      </c>
      <c r="G15" s="6">
        <v>59.192127999999997</v>
      </c>
      <c r="H15">
        <v>2007</v>
      </c>
      <c r="I15" t="str">
        <f>IF(HollywoodsMostProfitableStories[[#This Row],[Audience  score %]]&gt;AVERAGE(HollywoodsMostProfitableStories[Audience  score %]), "High score","Low score" )</f>
        <v>Low score</v>
      </c>
      <c r="K15" s="1">
        <f>MEDIAN(HollywoodsMostProfitableStories[Audience  score %])</f>
        <v>65</v>
      </c>
    </row>
    <row r="16" spans="1:15" x14ac:dyDescent="0.25">
      <c r="A16" t="s">
        <v>33</v>
      </c>
      <c r="B16" t="s">
        <v>9</v>
      </c>
      <c r="C16" t="s">
        <v>26</v>
      </c>
      <c r="D16">
        <v>60</v>
      </c>
      <c r="E16" s="4">
        <v>7.1536</v>
      </c>
      <c r="F16">
        <v>42</v>
      </c>
      <c r="G16" s="6">
        <v>178.84</v>
      </c>
      <c r="H16">
        <v>2009</v>
      </c>
      <c r="I16" t="str">
        <f>IF(HollywoodsMostProfitableStories[[#This Row],[Audience  score %]]&gt;AVERAGE(HollywoodsMostProfitableStories[Audience  score %]), "High score","Low score" )</f>
        <v>Low score</v>
      </c>
    </row>
    <row r="17" spans="1:9" x14ac:dyDescent="0.25">
      <c r="A17" t="s">
        <v>34</v>
      </c>
      <c r="B17" t="s">
        <v>9</v>
      </c>
      <c r="C17" t="s">
        <v>23</v>
      </c>
      <c r="D17">
        <v>76</v>
      </c>
      <c r="E17" s="4">
        <v>22.91313646</v>
      </c>
      <c r="F17">
        <v>65</v>
      </c>
      <c r="G17" s="6">
        <v>252.044501</v>
      </c>
      <c r="H17">
        <v>2008</v>
      </c>
      <c r="I17" t="str">
        <f>IF(HollywoodsMostProfitableStories[[#This Row],[Audience  score %]]&gt;AVERAGE(HollywoodsMostProfitableStories[Audience  score %]), "High score","Low score" )</f>
        <v>High score</v>
      </c>
    </row>
    <row r="18" spans="1:9" x14ac:dyDescent="0.25">
      <c r="A18" t="s">
        <v>35</v>
      </c>
      <c r="B18" t="s">
        <v>9</v>
      </c>
      <c r="C18" t="s">
        <v>14</v>
      </c>
      <c r="D18">
        <v>57</v>
      </c>
      <c r="E18" s="4">
        <v>1.34</v>
      </c>
      <c r="F18">
        <v>71</v>
      </c>
      <c r="G18" s="6">
        <v>20.100000000000001</v>
      </c>
      <c r="H18">
        <v>2010</v>
      </c>
      <c r="I18" t="str">
        <f>IF(HollywoodsMostProfitableStories[[#This Row],[Audience  score %]]&gt;AVERAGE(HollywoodsMostProfitableStories[Audience  score %]), "High score","Low score" )</f>
        <v>Low score</v>
      </c>
    </row>
    <row r="19" spans="1:9" x14ac:dyDescent="0.25">
      <c r="A19" t="s">
        <v>36</v>
      </c>
      <c r="B19" t="s">
        <v>9</v>
      </c>
      <c r="C19" t="s">
        <v>16</v>
      </c>
      <c r="D19">
        <v>63</v>
      </c>
      <c r="E19" s="4">
        <v>2.642352941</v>
      </c>
      <c r="F19">
        <v>56</v>
      </c>
      <c r="G19" s="6">
        <v>224.6</v>
      </c>
      <c r="H19">
        <v>2009</v>
      </c>
      <c r="I19" t="str">
        <f>IF(HollywoodsMostProfitableStories[[#This Row],[Audience  score %]]&gt;AVERAGE(HollywoodsMostProfitableStories[Audience  score %]), "High score","Low score" )</f>
        <v>Low score</v>
      </c>
    </row>
    <row r="20" spans="1:9" x14ac:dyDescent="0.25">
      <c r="A20" t="s">
        <v>37</v>
      </c>
      <c r="B20" t="s">
        <v>9</v>
      </c>
      <c r="C20" t="s">
        <v>10</v>
      </c>
      <c r="D20">
        <v>58</v>
      </c>
      <c r="E20" s="4">
        <v>1.797416667</v>
      </c>
      <c r="F20">
        <v>45</v>
      </c>
      <c r="G20" s="6">
        <v>21.568999999999999</v>
      </c>
      <c r="H20">
        <v>2010</v>
      </c>
      <c r="I20" t="str">
        <f>IF(HollywoodsMostProfitableStories[[#This Row],[Audience  score %]]&gt;AVERAGE(HollywoodsMostProfitableStories[Audience  score %]), "High score","Low score" )</f>
        <v>Low score</v>
      </c>
    </row>
    <row r="21" spans="1:9" x14ac:dyDescent="0.25">
      <c r="A21" t="s">
        <v>38</v>
      </c>
      <c r="B21" t="s">
        <v>39</v>
      </c>
      <c r="C21" t="s">
        <v>32</v>
      </c>
      <c r="D21">
        <v>45</v>
      </c>
      <c r="E21" s="4">
        <v>1.245333333</v>
      </c>
      <c r="F21">
        <v>11</v>
      </c>
      <c r="G21" s="6">
        <v>93.4</v>
      </c>
      <c r="H21">
        <v>2010</v>
      </c>
      <c r="I21" t="str">
        <f>IF(HollywoodsMostProfitableStories[[#This Row],[Audience  score %]]&gt;AVERAGE(HollywoodsMostProfitableStories[Audience  score %]), "High score","Low score" )</f>
        <v>Low score</v>
      </c>
    </row>
    <row r="22" spans="1:9" x14ac:dyDescent="0.25">
      <c r="A22" t="s">
        <v>40</v>
      </c>
      <c r="B22" t="s">
        <v>9</v>
      </c>
      <c r="C22" t="s">
        <v>16</v>
      </c>
      <c r="D22">
        <v>83</v>
      </c>
      <c r="E22" s="4">
        <v>6.6364018480000002</v>
      </c>
      <c r="F22">
        <v>91</v>
      </c>
      <c r="G22" s="6">
        <v>219.001261</v>
      </c>
      <c r="H22">
        <v>2007</v>
      </c>
      <c r="I22" t="str">
        <f>IF(HollywoodsMostProfitableStories[[#This Row],[Audience  score %]]&gt;AVERAGE(HollywoodsMostProfitableStories[Audience  score %]), "High score","Low score" )</f>
        <v>High score</v>
      </c>
    </row>
    <row r="23" spans="1:9" x14ac:dyDescent="0.25">
      <c r="A23" t="s">
        <v>41</v>
      </c>
      <c r="B23" t="s">
        <v>9</v>
      </c>
      <c r="C23" t="s">
        <v>16</v>
      </c>
      <c r="D23">
        <v>49</v>
      </c>
      <c r="E23" s="4">
        <v>1.715263158</v>
      </c>
      <c r="F23">
        <v>21</v>
      </c>
      <c r="G23" s="6">
        <v>32.590000000000003</v>
      </c>
      <c r="H23">
        <v>2010</v>
      </c>
      <c r="I23" t="str">
        <f>IF(HollywoodsMostProfitableStories[[#This Row],[Audience  score %]]&gt;AVERAGE(HollywoodsMostProfitableStories[Audience  score %]), "High score","Low score" )</f>
        <v>Low score</v>
      </c>
    </row>
    <row r="24" spans="1:9" x14ac:dyDescent="0.25">
      <c r="A24" t="s">
        <v>42</v>
      </c>
      <c r="B24" t="s">
        <v>9</v>
      </c>
      <c r="C24" t="s">
        <v>43</v>
      </c>
      <c r="D24">
        <v>62</v>
      </c>
      <c r="E24" s="4">
        <v>2.6393333330000002</v>
      </c>
      <c r="F24">
        <v>40</v>
      </c>
      <c r="G24" s="6">
        <v>79.180000000000007</v>
      </c>
      <c r="H24">
        <v>2010</v>
      </c>
      <c r="I24" t="str">
        <f>IF(HollywoodsMostProfitableStories[[#This Row],[Audience  score %]]&gt;AVERAGE(HollywoodsMostProfitableStories[Audience  score %]), "High score","Low score" )</f>
        <v>Low score</v>
      </c>
    </row>
    <row r="25" spans="1:9" x14ac:dyDescent="0.25">
      <c r="A25" t="s">
        <v>44</v>
      </c>
      <c r="B25" t="s">
        <v>9</v>
      </c>
      <c r="C25" t="s">
        <v>26</v>
      </c>
      <c r="D25">
        <v>55</v>
      </c>
      <c r="E25" s="4">
        <v>1.9802063999999999</v>
      </c>
      <c r="F25">
        <v>8</v>
      </c>
      <c r="G25" s="6">
        <v>69.307224000000005</v>
      </c>
      <c r="H25">
        <v>2007</v>
      </c>
      <c r="I25" t="str">
        <f>IF(HollywoodsMostProfitableStories[[#This Row],[Audience  score %]]&gt;AVERAGE(HollywoodsMostProfitableStories[Audience  score %]), "High score","Low score" )</f>
        <v>Low score</v>
      </c>
    </row>
    <row r="26" spans="1:9" x14ac:dyDescent="0.25">
      <c r="A26" t="s">
        <v>45</v>
      </c>
      <c r="B26" t="s">
        <v>9</v>
      </c>
      <c r="C26" t="s">
        <v>14</v>
      </c>
      <c r="D26">
        <v>62</v>
      </c>
      <c r="E26" s="4">
        <v>2.530526316</v>
      </c>
      <c r="F26">
        <v>28</v>
      </c>
      <c r="G26" s="6">
        <v>96.16</v>
      </c>
      <c r="H26">
        <v>2010</v>
      </c>
      <c r="I26" t="str">
        <f>IF(HollywoodsMostProfitableStories[[#This Row],[Audience  score %]]&gt;AVERAGE(HollywoodsMostProfitableStories[Audience  score %]), "High score","Low score" )</f>
        <v>Low score</v>
      </c>
    </row>
    <row r="27" spans="1:9" x14ac:dyDescent="0.25">
      <c r="A27" t="s">
        <v>46</v>
      </c>
      <c r="B27" t="s">
        <v>9</v>
      </c>
      <c r="C27" t="s">
        <v>10</v>
      </c>
      <c r="D27">
        <v>55</v>
      </c>
      <c r="E27" s="4">
        <v>1.8176666669999999</v>
      </c>
      <c r="F27">
        <v>48</v>
      </c>
      <c r="G27" s="6">
        <v>54.53</v>
      </c>
      <c r="H27">
        <v>2010</v>
      </c>
      <c r="I27" t="str">
        <f>IF(HollywoodsMostProfitableStories[[#This Row],[Audience  score %]]&gt;AVERAGE(HollywoodsMostProfitableStories[Audience  score %]), "High score","Low score" )</f>
        <v>Low score</v>
      </c>
    </row>
    <row r="28" spans="1:9" x14ac:dyDescent="0.25">
      <c r="A28" t="s">
        <v>47</v>
      </c>
      <c r="B28" t="s">
        <v>13</v>
      </c>
      <c r="C28" t="s">
        <v>16</v>
      </c>
      <c r="D28">
        <v>40</v>
      </c>
      <c r="E28" s="4">
        <v>2.0044444440000002</v>
      </c>
      <c r="F28">
        <v>18</v>
      </c>
      <c r="G28" s="6">
        <v>36.08</v>
      </c>
      <c r="H28">
        <v>2009</v>
      </c>
      <c r="I28" t="str">
        <f>IF(HollywoodsMostProfitableStories[[#This Row],[Audience  score %]]&gt;AVERAGE(HollywoodsMostProfitableStories[Audience  score %]), "High score","Low score" )</f>
        <v>Low score</v>
      </c>
    </row>
    <row r="29" spans="1:9" x14ac:dyDescent="0.25">
      <c r="A29" t="s">
        <v>48</v>
      </c>
      <c r="B29" t="s">
        <v>9</v>
      </c>
      <c r="C29" t="s">
        <v>21</v>
      </c>
      <c r="D29">
        <v>61</v>
      </c>
      <c r="E29" s="4">
        <v>2.6490683499999998</v>
      </c>
      <c r="F29">
        <v>13</v>
      </c>
      <c r="G29" s="6">
        <v>105.962734</v>
      </c>
      <c r="H29">
        <v>2008</v>
      </c>
      <c r="I29" t="str">
        <f>IF(HollywoodsMostProfitableStories[[#This Row],[Audience  score %]]&gt;AVERAGE(HollywoodsMostProfitableStories[Audience  score %]), "High score","Low score" )</f>
        <v>Low score</v>
      </c>
    </row>
    <row r="30" spans="1:9" x14ac:dyDescent="0.25">
      <c r="A30" t="s">
        <v>49</v>
      </c>
      <c r="B30" t="s">
        <v>9</v>
      </c>
      <c r="C30" t="s">
        <v>16</v>
      </c>
      <c r="D30">
        <v>76</v>
      </c>
      <c r="E30" s="4">
        <v>9.2344538640000007</v>
      </c>
      <c r="F30">
        <v>53</v>
      </c>
      <c r="G30" s="6">
        <v>609.47395500000005</v>
      </c>
      <c r="H30">
        <v>2008</v>
      </c>
      <c r="I30" t="str">
        <f>IF(HollywoodsMostProfitableStories[[#This Row],[Audience  score %]]&gt;AVERAGE(HollywoodsMostProfitableStories[Audience  score %]), "High score","Low score" )</f>
        <v>High score</v>
      </c>
    </row>
    <row r="31" spans="1:9" x14ac:dyDescent="0.25">
      <c r="A31" t="s">
        <v>50</v>
      </c>
      <c r="B31" t="s">
        <v>9</v>
      </c>
      <c r="C31" t="s">
        <v>10</v>
      </c>
      <c r="D31">
        <v>77</v>
      </c>
      <c r="E31" s="4">
        <v>3.7467818180000001</v>
      </c>
      <c r="F31">
        <v>63</v>
      </c>
      <c r="G31" s="6">
        <v>206.07300000000001</v>
      </c>
      <c r="H31">
        <v>2008</v>
      </c>
      <c r="I31" t="str">
        <f>IF(HollywoodsMostProfitableStories[[#This Row],[Audience  score %]]&gt;AVERAGE(HollywoodsMostProfitableStories[Audience  score %]), "High score","Low score" )</f>
        <v>High score</v>
      </c>
    </row>
    <row r="32" spans="1:9" x14ac:dyDescent="0.25">
      <c r="A32" t="s">
        <v>51</v>
      </c>
      <c r="B32" t="s">
        <v>18</v>
      </c>
      <c r="C32" t="s">
        <v>21</v>
      </c>
      <c r="D32">
        <v>84</v>
      </c>
      <c r="E32" s="4">
        <v>8.7447058819999999</v>
      </c>
      <c r="F32">
        <v>93</v>
      </c>
      <c r="G32" s="6">
        <v>148.66</v>
      </c>
      <c r="H32">
        <v>2011</v>
      </c>
      <c r="I32" t="str">
        <f>IF(HollywoodsMostProfitableStories[[#This Row],[Audience  score %]]&gt;AVERAGE(HollywoodsMostProfitableStories[Audience  score %]), "High score","Low score" )</f>
        <v>High score</v>
      </c>
    </row>
    <row r="33" spans="1:9" x14ac:dyDescent="0.25">
      <c r="A33" t="s">
        <v>52</v>
      </c>
      <c r="B33" t="s">
        <v>9</v>
      </c>
      <c r="C33" t="s">
        <v>14</v>
      </c>
      <c r="D33">
        <v>70</v>
      </c>
      <c r="E33" s="4">
        <v>0.25289489999999998</v>
      </c>
      <c r="F33">
        <v>78</v>
      </c>
      <c r="G33" s="6">
        <v>15.173693999999999</v>
      </c>
      <c r="H33">
        <v>2008</v>
      </c>
      <c r="I33" t="str">
        <f>IF(HollywoodsMostProfitableStories[[#This Row],[Audience  score %]]&gt;AVERAGE(HollywoodsMostProfitableStories[Audience  score %]), "High score","Low score" )</f>
        <v>High score</v>
      </c>
    </row>
    <row r="34" spans="1:9" x14ac:dyDescent="0.25">
      <c r="A34" t="s">
        <v>53</v>
      </c>
      <c r="B34" t="s">
        <v>18</v>
      </c>
      <c r="C34" t="s">
        <v>54</v>
      </c>
      <c r="D34">
        <v>50</v>
      </c>
      <c r="E34" s="4">
        <v>1.9832000000000001</v>
      </c>
      <c r="F34">
        <v>38</v>
      </c>
      <c r="G34" s="6">
        <v>39.664000000000001</v>
      </c>
      <c r="H34">
        <v>2011</v>
      </c>
      <c r="I34" t="str">
        <f>IF(HollywoodsMostProfitableStories[[#This Row],[Audience  score %]]&gt;AVERAGE(HollywoodsMostProfitableStories[Audience  score %]), "High score","Low score" )</f>
        <v>Low score</v>
      </c>
    </row>
    <row r="35" spans="1:9" x14ac:dyDescent="0.25">
      <c r="A35" t="s">
        <v>55</v>
      </c>
      <c r="B35" t="s">
        <v>18</v>
      </c>
      <c r="C35" t="s">
        <v>26</v>
      </c>
      <c r="D35">
        <v>70</v>
      </c>
      <c r="E35" s="4">
        <v>3.64741055</v>
      </c>
      <c r="F35">
        <v>63</v>
      </c>
      <c r="G35" s="6">
        <v>145.896422</v>
      </c>
      <c r="H35">
        <v>2007</v>
      </c>
      <c r="I35" t="str">
        <f>IF(HollywoodsMostProfitableStories[[#This Row],[Audience  score %]]&gt;AVERAGE(HollywoodsMostProfitableStories[Audience  score %]), "High score","Low score" )</f>
        <v>High score</v>
      </c>
    </row>
    <row r="36" spans="1:9" x14ac:dyDescent="0.25">
      <c r="A36" t="s">
        <v>56</v>
      </c>
      <c r="B36" t="s">
        <v>13</v>
      </c>
      <c r="C36" t="s">
        <v>57</v>
      </c>
      <c r="D36">
        <v>84</v>
      </c>
      <c r="E36" s="4">
        <v>0.82579999999999998</v>
      </c>
      <c r="F36">
        <v>83</v>
      </c>
      <c r="G36" s="6">
        <v>8.2579999999999991</v>
      </c>
      <c r="H36">
        <v>2011</v>
      </c>
      <c r="I36" t="str">
        <f>IF(HollywoodsMostProfitableStories[[#This Row],[Audience  score %]]&gt;AVERAGE(HollywoodsMostProfitableStories[Audience  score %]), "High score","Low score" )</f>
        <v>High score</v>
      </c>
    </row>
    <row r="37" spans="1:9" x14ac:dyDescent="0.25">
      <c r="A37" t="s">
        <v>58</v>
      </c>
      <c r="B37" t="s">
        <v>18</v>
      </c>
      <c r="C37" t="s">
        <v>26</v>
      </c>
      <c r="D37">
        <v>48</v>
      </c>
      <c r="E37" s="4">
        <v>2.5364285710000001</v>
      </c>
      <c r="F37">
        <v>8</v>
      </c>
      <c r="G37" s="6">
        <v>142.04</v>
      </c>
      <c r="H37">
        <v>2011</v>
      </c>
      <c r="I37" t="str">
        <f>IF(HollywoodsMostProfitableStories[[#This Row],[Audience  score %]]&gt;AVERAGE(HollywoodsMostProfitableStories[Audience  score %]), "High score","Low score" )</f>
        <v>Low score</v>
      </c>
    </row>
    <row r="38" spans="1:9" x14ac:dyDescent="0.25">
      <c r="A38" t="s">
        <v>59</v>
      </c>
      <c r="B38" t="s">
        <v>9</v>
      </c>
      <c r="C38" t="s">
        <v>21</v>
      </c>
      <c r="D38">
        <v>67</v>
      </c>
      <c r="E38" s="4">
        <v>3.3527293</v>
      </c>
      <c r="F38">
        <v>73</v>
      </c>
      <c r="G38" s="6">
        <v>33.527293</v>
      </c>
      <c r="H38">
        <v>2008</v>
      </c>
      <c r="I38" t="str">
        <f>IF(HollywoodsMostProfitableStories[[#This Row],[Audience  score %]]&gt;AVERAGE(HollywoodsMostProfitableStories[Audience  score %]), "High score","Low score" )</f>
        <v>High score</v>
      </c>
    </row>
    <row r="39" spans="1:9" x14ac:dyDescent="0.25">
      <c r="A39" t="s">
        <v>60</v>
      </c>
      <c r="B39" t="s">
        <v>13</v>
      </c>
      <c r="C39" t="s">
        <v>14</v>
      </c>
      <c r="D39">
        <v>66</v>
      </c>
      <c r="E39" s="4">
        <v>2.14</v>
      </c>
      <c r="F39">
        <v>34</v>
      </c>
      <c r="G39" s="6">
        <v>10.7</v>
      </c>
      <c r="H39">
        <v>2009</v>
      </c>
      <c r="I39" t="str">
        <f>IF(HollywoodsMostProfitableStories[[#This Row],[Audience  score %]]&gt;AVERAGE(HollywoodsMostProfitableStories[Audience  score %]), "High score","Low score" )</f>
        <v>High score</v>
      </c>
    </row>
    <row r="40" spans="1:9" x14ac:dyDescent="0.25">
      <c r="A40" t="s">
        <v>61</v>
      </c>
      <c r="B40" t="s">
        <v>18</v>
      </c>
      <c r="C40" t="s">
        <v>14</v>
      </c>
      <c r="D40">
        <v>54</v>
      </c>
      <c r="E40" s="4">
        <v>3.6827333329999998</v>
      </c>
      <c r="F40">
        <v>37</v>
      </c>
      <c r="G40" s="6">
        <v>55.241</v>
      </c>
      <c r="H40">
        <v>2011</v>
      </c>
      <c r="I40" t="str">
        <f>IF(HollywoodsMostProfitableStories[[#This Row],[Audience  score %]]&gt;AVERAGE(HollywoodsMostProfitableStories[Audience  score %]), "High score","Low score" )</f>
        <v>Low score</v>
      </c>
    </row>
    <row r="41" spans="1:9" x14ac:dyDescent="0.25">
      <c r="A41" t="s">
        <v>62</v>
      </c>
      <c r="B41" t="s">
        <v>9</v>
      </c>
      <c r="C41" t="s">
        <v>63</v>
      </c>
      <c r="D41">
        <v>47</v>
      </c>
      <c r="E41" s="4">
        <v>2.0710000000000002</v>
      </c>
      <c r="F41">
        <v>15</v>
      </c>
      <c r="G41" s="6">
        <v>20.71</v>
      </c>
      <c r="H41">
        <v>2008</v>
      </c>
      <c r="I41" t="str">
        <f>IF(HollywoodsMostProfitableStories[[#This Row],[Audience  score %]]&gt;AVERAGE(HollywoodsMostProfitableStories[Audience  score %]), "High score","Low score" )</f>
        <v>Low score</v>
      </c>
    </row>
    <row r="42" spans="1:9" x14ac:dyDescent="0.25">
      <c r="A42" t="s">
        <v>64</v>
      </c>
      <c r="B42" t="s">
        <v>18</v>
      </c>
      <c r="C42" t="s">
        <v>14</v>
      </c>
      <c r="D42">
        <v>82</v>
      </c>
      <c r="E42" s="4">
        <v>5.1031168329999996</v>
      </c>
      <c r="F42">
        <v>21</v>
      </c>
      <c r="G42" s="6">
        <v>153.09350499999999</v>
      </c>
      <c r="H42">
        <v>2007</v>
      </c>
      <c r="I42" t="str">
        <f>IF(HollywoodsMostProfitableStories[[#This Row],[Audience  score %]]&gt;AVERAGE(HollywoodsMostProfitableStories[Audience  score %]), "High score","Low score" )</f>
        <v>High score</v>
      </c>
    </row>
    <row r="43" spans="1:9" x14ac:dyDescent="0.25">
      <c r="A43" t="s">
        <v>65</v>
      </c>
      <c r="B43" t="s">
        <v>9</v>
      </c>
      <c r="C43" t="s">
        <v>43</v>
      </c>
      <c r="D43">
        <v>74</v>
      </c>
      <c r="E43" s="4">
        <v>1.3827997329999999</v>
      </c>
      <c r="F43">
        <v>52</v>
      </c>
      <c r="G43" s="6">
        <v>20.741996</v>
      </c>
      <c r="H43">
        <v>2008</v>
      </c>
      <c r="I43" t="str">
        <f>IF(HollywoodsMostProfitableStories[[#This Row],[Audience  score %]]&gt;AVERAGE(HollywoodsMostProfitableStories[Audience  score %]), "High score","Low score" )</f>
        <v>High score</v>
      </c>
    </row>
    <row r="44" spans="1:9" x14ac:dyDescent="0.25">
      <c r="A44" t="s">
        <v>66</v>
      </c>
      <c r="B44" t="s">
        <v>13</v>
      </c>
      <c r="C44" t="s">
        <v>14</v>
      </c>
      <c r="D44">
        <v>61</v>
      </c>
      <c r="E44" s="4">
        <v>1.3841666669999999</v>
      </c>
      <c r="F44">
        <v>85</v>
      </c>
      <c r="G44" s="6">
        <v>16.61</v>
      </c>
      <c r="H44">
        <v>2008</v>
      </c>
      <c r="I44" t="str">
        <f>IF(HollywoodsMostProfitableStories[[#This Row],[Audience  score %]]&gt;AVERAGE(HollywoodsMostProfitableStories[Audience  score %]), "High score","Low score" )</f>
        <v>Low score</v>
      </c>
    </row>
    <row r="45" spans="1:9" x14ac:dyDescent="0.25">
      <c r="A45" t="s">
        <v>67</v>
      </c>
      <c r="B45" t="s">
        <v>13</v>
      </c>
      <c r="C45" t="s">
        <v>43</v>
      </c>
      <c r="D45">
        <v>70</v>
      </c>
      <c r="E45" s="4">
        <v>3.49125</v>
      </c>
      <c r="F45">
        <v>28</v>
      </c>
      <c r="G45" s="6">
        <v>55.86</v>
      </c>
      <c r="H45">
        <v>2010</v>
      </c>
      <c r="I45" t="str">
        <f>IF(HollywoodsMostProfitableStories[[#This Row],[Audience  score %]]&gt;AVERAGE(HollywoodsMostProfitableStories[Audience  score %]), "High score","Low score" )</f>
        <v>High score</v>
      </c>
    </row>
    <row r="46" spans="1:9" x14ac:dyDescent="0.25">
      <c r="A46" t="s">
        <v>68</v>
      </c>
      <c r="B46" t="s">
        <v>9</v>
      </c>
      <c r="C46" t="s">
        <v>26</v>
      </c>
      <c r="D46">
        <v>81</v>
      </c>
      <c r="E46" s="4">
        <v>7.2217957909999999</v>
      </c>
      <c r="F46">
        <v>49</v>
      </c>
      <c r="G46" s="6">
        <v>415.25325800000002</v>
      </c>
      <c r="H46">
        <v>2008</v>
      </c>
      <c r="I46" t="str">
        <f>IF(HollywoodsMostProfitableStories[[#This Row],[Audience  score %]]&gt;AVERAGE(HollywoodsMostProfitableStories[Audience  score %]), "High score","Low score" )</f>
        <v>High score</v>
      </c>
    </row>
    <row r="47" spans="1:9" x14ac:dyDescent="0.25">
      <c r="A47" t="s">
        <v>69</v>
      </c>
      <c r="B47" t="s">
        <v>9</v>
      </c>
      <c r="C47" t="s">
        <v>26</v>
      </c>
      <c r="D47">
        <v>49</v>
      </c>
      <c r="E47" s="4">
        <v>2.8835000000000002</v>
      </c>
      <c r="F47">
        <v>15</v>
      </c>
      <c r="G47" s="6">
        <v>288.35000000000002</v>
      </c>
      <c r="H47">
        <v>2010</v>
      </c>
      <c r="I47" t="str">
        <f>IF(HollywoodsMostProfitableStories[[#This Row],[Audience  score %]]&gt;AVERAGE(HollywoodsMostProfitableStories[Audience  score %]), "High score","Low score" )</f>
        <v>Low score</v>
      </c>
    </row>
    <row r="48" spans="1:9" x14ac:dyDescent="0.25">
      <c r="A48" t="s">
        <v>70</v>
      </c>
      <c r="B48" t="s">
        <v>9</v>
      </c>
      <c r="C48" t="s">
        <v>71</v>
      </c>
      <c r="D48">
        <v>60</v>
      </c>
      <c r="E48" s="4">
        <v>2.4405000000000001</v>
      </c>
      <c r="F48">
        <v>57</v>
      </c>
      <c r="G48" s="6">
        <v>48.81</v>
      </c>
      <c r="H48">
        <v>2010</v>
      </c>
      <c r="I48" t="str">
        <f>IF(HollywoodsMostProfitableStories[[#This Row],[Audience  score %]]&gt;AVERAGE(HollywoodsMostProfitableStories[Audience  score %]), "High score","Low score" )</f>
        <v>Low score</v>
      </c>
    </row>
    <row r="49" spans="1:9" x14ac:dyDescent="0.25">
      <c r="A49" t="s">
        <v>72</v>
      </c>
      <c r="B49" t="s">
        <v>29</v>
      </c>
      <c r="C49" t="s">
        <v>23</v>
      </c>
      <c r="D49">
        <v>88</v>
      </c>
      <c r="E49" s="4">
        <v>1.3656923080000001</v>
      </c>
      <c r="F49">
        <v>89</v>
      </c>
      <c r="G49" s="6">
        <v>355.08</v>
      </c>
      <c r="H49">
        <v>2010</v>
      </c>
      <c r="I49" t="str">
        <f>IF(HollywoodsMostProfitableStories[[#This Row],[Audience  score %]]&gt;AVERAGE(HollywoodsMostProfitableStories[Audience  score %]), "High score","Low score" )</f>
        <v>High score</v>
      </c>
    </row>
    <row r="50" spans="1:9" x14ac:dyDescent="0.25">
      <c r="A50" t="s">
        <v>73</v>
      </c>
      <c r="B50" t="s">
        <v>9</v>
      </c>
      <c r="C50" t="s">
        <v>74</v>
      </c>
      <c r="D50">
        <v>47</v>
      </c>
      <c r="E50" s="4">
        <v>2.2025714289999998</v>
      </c>
      <c r="F50">
        <v>20</v>
      </c>
      <c r="G50" s="6">
        <v>77.09</v>
      </c>
      <c r="H50">
        <v>2010</v>
      </c>
      <c r="I50" t="str">
        <f>IF(HollywoodsMostProfitableStories[[#This Row],[Audience  score %]]&gt;AVERAGE(HollywoodsMostProfitableStories[Audience  score %]), "High score","Low score" )</f>
        <v>Low score</v>
      </c>
    </row>
    <row r="51" spans="1:9" x14ac:dyDescent="0.25">
      <c r="A51" t="s">
        <v>75</v>
      </c>
      <c r="B51" t="s">
        <v>76</v>
      </c>
      <c r="C51" t="s">
        <v>26</v>
      </c>
      <c r="D51">
        <v>81</v>
      </c>
      <c r="E51" s="4">
        <v>1.7839437499999999</v>
      </c>
      <c r="F51">
        <v>73</v>
      </c>
      <c r="G51" s="6">
        <v>285.43099999999998</v>
      </c>
      <c r="H51">
        <v>2008</v>
      </c>
      <c r="I51" t="str">
        <f>IF(HollywoodsMostProfitableStories[[#This Row],[Audience  score %]]&gt;AVERAGE(HollywoodsMostProfitableStories[Audience  score %]), "High score","Low score" )</f>
        <v>High score</v>
      </c>
    </row>
    <row r="52" spans="1:9" x14ac:dyDescent="0.25">
      <c r="A52" t="s">
        <v>77</v>
      </c>
      <c r="B52" t="s">
        <v>13</v>
      </c>
      <c r="C52" t="s">
        <v>71</v>
      </c>
      <c r="D52">
        <v>68</v>
      </c>
      <c r="E52" s="4">
        <v>3.2078502219999998</v>
      </c>
      <c r="F52">
        <v>60</v>
      </c>
      <c r="G52" s="6">
        <v>43.305978000000003</v>
      </c>
      <c r="H52">
        <v>2008</v>
      </c>
      <c r="I52" t="str">
        <f>IF(HollywoodsMostProfitableStories[[#This Row],[Audience  score %]]&gt;AVERAGE(HollywoodsMostProfitableStories[Audience  score %]), "High score","Low score" )</f>
        <v>High score</v>
      </c>
    </row>
    <row r="53" spans="1:9" x14ac:dyDescent="0.25">
      <c r="A53" t="s">
        <v>78</v>
      </c>
      <c r="B53" t="s">
        <v>9</v>
      </c>
      <c r="C53" t="s">
        <v>71</v>
      </c>
      <c r="D53">
        <v>41</v>
      </c>
      <c r="E53" s="4">
        <v>2.1294441669999999</v>
      </c>
      <c r="F53">
        <v>30</v>
      </c>
      <c r="G53" s="6">
        <v>127.76665</v>
      </c>
      <c r="H53">
        <v>2007</v>
      </c>
      <c r="I53" t="str">
        <f>IF(HollywoodsMostProfitableStories[[#This Row],[Audience  score %]]&gt;AVERAGE(HollywoodsMostProfitableStories[Audience  score %]), "High score","Low score" )</f>
        <v>Low score</v>
      </c>
    </row>
    <row r="54" spans="1:9" x14ac:dyDescent="0.25">
      <c r="A54" t="s">
        <v>79</v>
      </c>
      <c r="B54" t="s">
        <v>9</v>
      </c>
      <c r="C54" t="s">
        <v>26</v>
      </c>
      <c r="D54">
        <v>47</v>
      </c>
      <c r="E54" s="4">
        <v>1.7513513510000001</v>
      </c>
      <c r="F54">
        <v>56</v>
      </c>
      <c r="G54" s="6">
        <v>32.4</v>
      </c>
      <c r="H54">
        <v>2009</v>
      </c>
      <c r="I54" t="str">
        <f>IF(HollywoodsMostProfitableStories[[#This Row],[Audience  score %]]&gt;AVERAGE(HollywoodsMostProfitableStories[Audience  score %]), "High score","Low score" )</f>
        <v>Low score</v>
      </c>
    </row>
    <row r="55" spans="1:9" x14ac:dyDescent="0.25">
      <c r="A55" t="s">
        <v>80</v>
      </c>
      <c r="B55" t="s">
        <v>9</v>
      </c>
      <c r="C55" t="s">
        <v>23</v>
      </c>
      <c r="D55">
        <v>74</v>
      </c>
      <c r="E55" s="4">
        <v>7.8674999999999997</v>
      </c>
      <c r="F55">
        <v>43</v>
      </c>
      <c r="G55" s="6">
        <v>314.7</v>
      </c>
      <c r="H55">
        <v>2009</v>
      </c>
      <c r="I55" t="str">
        <f>IF(HollywoodsMostProfitableStories[[#This Row],[Audience  score %]]&gt;AVERAGE(HollywoodsMostProfitableStories[Audience  score %]), "High score","Low score" )</f>
        <v>High score</v>
      </c>
    </row>
    <row r="56" spans="1:9" x14ac:dyDescent="0.25">
      <c r="A56" t="s">
        <v>81</v>
      </c>
      <c r="B56" t="s">
        <v>13</v>
      </c>
      <c r="C56" t="s">
        <v>71</v>
      </c>
      <c r="D56">
        <v>65</v>
      </c>
      <c r="E56" s="4">
        <v>2.598205128</v>
      </c>
      <c r="F56">
        <v>38</v>
      </c>
      <c r="G56" s="6">
        <v>101.33</v>
      </c>
      <c r="H56">
        <v>2009</v>
      </c>
      <c r="I56" t="str">
        <f>IF(HollywoodsMostProfitableStories[[#This Row],[Audience  score %]]&gt;AVERAGE(HollywoodsMostProfitableStories[Audience  score %]), "High score","Low score" )</f>
        <v>High score</v>
      </c>
    </row>
    <row r="57" spans="1:9" x14ac:dyDescent="0.25">
      <c r="A57" t="s">
        <v>82</v>
      </c>
      <c r="B57" t="s">
        <v>13</v>
      </c>
      <c r="C57" t="s">
        <v>43</v>
      </c>
      <c r="D57">
        <v>78</v>
      </c>
      <c r="E57" s="4">
        <v>14.196400000000001</v>
      </c>
      <c r="F57">
        <v>27</v>
      </c>
      <c r="G57" s="6">
        <v>709.82</v>
      </c>
      <c r="H57">
        <v>2009</v>
      </c>
      <c r="I57" t="str">
        <f>IF(HollywoodsMostProfitableStories[[#This Row],[Audience  score %]]&gt;AVERAGE(HollywoodsMostProfitableStories[Audience  score %]), "High score","Low score" )</f>
        <v>High score</v>
      </c>
    </row>
    <row r="58" spans="1:9" x14ac:dyDescent="0.25">
      <c r="A58" t="s">
        <v>83</v>
      </c>
      <c r="B58" t="s">
        <v>9</v>
      </c>
      <c r="C58" t="s">
        <v>14</v>
      </c>
      <c r="D58">
        <v>68</v>
      </c>
      <c r="E58" s="4">
        <v>5.4026315790000004</v>
      </c>
      <c r="F58">
        <v>14</v>
      </c>
      <c r="G58" s="6">
        <v>205.3</v>
      </c>
      <c r="H58">
        <v>2009</v>
      </c>
      <c r="I58" t="str">
        <f>IF(HollywoodsMostProfitableStories[[#This Row],[Audience  score %]]&gt;AVERAGE(HollywoodsMostProfitableStories[Audience  score %]), "High score","Low score" )</f>
        <v>High score</v>
      </c>
    </row>
    <row r="59" spans="1:9" x14ac:dyDescent="0.25">
      <c r="A59" t="s">
        <v>84</v>
      </c>
      <c r="B59" t="s">
        <v>18</v>
      </c>
      <c r="C59" t="s">
        <v>43</v>
      </c>
      <c r="D59">
        <v>82</v>
      </c>
      <c r="E59" s="4">
        <v>10.18002703</v>
      </c>
      <c r="F59">
        <v>49</v>
      </c>
      <c r="G59" s="6">
        <v>376.661</v>
      </c>
      <c r="H59">
        <v>2008</v>
      </c>
      <c r="I59" t="str">
        <f>IF(HollywoodsMostProfitableStories[[#This Row],[Audience  score %]]&gt;AVERAGE(HollywoodsMostProfitableStories[Audience  score %]), "High score","Low score" )</f>
        <v>High score</v>
      </c>
    </row>
    <row r="60" spans="1:9" x14ac:dyDescent="0.25">
      <c r="A60" t="s">
        <v>85</v>
      </c>
      <c r="B60" t="s">
        <v>18</v>
      </c>
      <c r="C60" t="s">
        <v>14</v>
      </c>
      <c r="D60">
        <v>68</v>
      </c>
      <c r="E60" s="4">
        <v>6.3833636360000003</v>
      </c>
      <c r="F60">
        <v>26</v>
      </c>
      <c r="G60" s="6">
        <v>702.17</v>
      </c>
      <c r="H60">
        <v>2011</v>
      </c>
      <c r="I60" t="str">
        <f>IF(HollywoodsMostProfitableStories[[#This Row],[Audience  score %]]&gt;AVERAGE(HollywoodsMostProfitableStories[Audience  score %]), "High score","Low score" )</f>
        <v>High score</v>
      </c>
    </row>
    <row r="61" spans="1:9" x14ac:dyDescent="0.25">
      <c r="A61" t="s">
        <v>86</v>
      </c>
      <c r="B61" t="s">
        <v>18</v>
      </c>
      <c r="C61" t="s">
        <v>14</v>
      </c>
      <c r="D61">
        <v>47</v>
      </c>
      <c r="E61" s="4">
        <v>3.7241924000000002</v>
      </c>
      <c r="F61">
        <v>46</v>
      </c>
      <c r="G61" s="6">
        <v>55.862886000000003</v>
      </c>
      <c r="H61">
        <v>2007</v>
      </c>
      <c r="I61" t="str">
        <f>IF(HollywoodsMostProfitableStories[[#This Row],[Audience  score %]]&gt;AVERAGE(HollywoodsMostProfitableStories[Audience  score %]), "High score","Low score" )</f>
        <v>Low score</v>
      </c>
    </row>
    <row r="62" spans="1:9" x14ac:dyDescent="0.25">
      <c r="A62" t="s">
        <v>87</v>
      </c>
      <c r="B62" t="s">
        <v>9</v>
      </c>
      <c r="C62" t="s">
        <v>26</v>
      </c>
      <c r="D62">
        <v>54</v>
      </c>
      <c r="E62" s="4">
        <v>4.1840384620000002</v>
      </c>
      <c r="F62">
        <v>17</v>
      </c>
      <c r="G62" s="6">
        <v>217.57</v>
      </c>
      <c r="H62">
        <v>2010</v>
      </c>
      <c r="I62" t="str">
        <f>IF(HollywoodsMostProfitableStories[[#This Row],[Audience  score %]]&gt;AVERAGE(HollywoodsMostProfitableStories[Audience  score %]), "High score","Low score" )</f>
        <v>Low score</v>
      </c>
    </row>
    <row r="63" spans="1:9" x14ac:dyDescent="0.25">
      <c r="A63" t="s">
        <v>88</v>
      </c>
      <c r="B63" t="s">
        <v>18</v>
      </c>
      <c r="C63" t="s">
        <v>14</v>
      </c>
      <c r="D63">
        <v>53</v>
      </c>
      <c r="E63" s="4">
        <v>5.0000000000000001E-3</v>
      </c>
      <c r="F63">
        <v>6</v>
      </c>
      <c r="G63" s="6">
        <v>2.5000000000000001E-2</v>
      </c>
      <c r="H63">
        <v>2011</v>
      </c>
      <c r="I63" t="str">
        <f>IF(HollywoodsMostProfitableStories[[#This Row],[Audience  score %]]&gt;AVERAGE(HollywoodsMostProfitableStories[Audience  score %]), "High score","Low score" )</f>
        <v>Low score</v>
      </c>
    </row>
    <row r="64" spans="1:9" x14ac:dyDescent="0.25">
      <c r="A64" t="s">
        <v>89</v>
      </c>
      <c r="B64" t="s">
        <v>18</v>
      </c>
      <c r="C64" t="s">
        <v>14</v>
      </c>
      <c r="D64">
        <v>67</v>
      </c>
      <c r="E64" s="4">
        <v>11.089741500000001</v>
      </c>
      <c r="F64">
        <v>89</v>
      </c>
      <c r="G64" s="6">
        <v>22.179483000000001</v>
      </c>
      <c r="H64">
        <v>2007</v>
      </c>
      <c r="I64" t="str">
        <f>IF(HollywoodsMostProfitableStories[[#This Row],[Audience  score %]]&gt;AVERAGE(HollywoodsMostProfitableStories[Audience  score %]), "High score","Low score" )</f>
        <v>High score</v>
      </c>
    </row>
    <row r="65" spans="1:9" x14ac:dyDescent="0.25">
      <c r="A65" t="s">
        <v>90</v>
      </c>
      <c r="B65" t="s">
        <v>29</v>
      </c>
      <c r="C65" t="s">
        <v>23</v>
      </c>
      <c r="D65">
        <v>89</v>
      </c>
      <c r="E65" s="4">
        <v>2.8960190670000001</v>
      </c>
      <c r="F65">
        <v>96</v>
      </c>
      <c r="G65" s="6">
        <v>521.28343199999995</v>
      </c>
      <c r="H65">
        <v>2008</v>
      </c>
      <c r="I65" t="str">
        <f>IF(HollywoodsMostProfitableStories[[#This Row],[Audience  score %]]&gt;AVERAGE(HollywoodsMostProfitableStories[Audience  score %]), "High score","Low score" )</f>
        <v>High score</v>
      </c>
    </row>
    <row r="66" spans="1:9" x14ac:dyDescent="0.25">
      <c r="A66" t="s">
        <v>91</v>
      </c>
      <c r="B66" t="s">
        <v>13</v>
      </c>
      <c r="C66" t="s">
        <v>54</v>
      </c>
      <c r="D66">
        <v>72</v>
      </c>
      <c r="E66" s="4">
        <v>3.0814210530000001</v>
      </c>
      <c r="F66">
        <v>60</v>
      </c>
      <c r="G66" s="6">
        <v>117.09399999999999</v>
      </c>
      <c r="H66">
        <v>2011</v>
      </c>
      <c r="I66" t="str">
        <f>IF(HollywoodsMostProfitableStories[[#This Row],[Audience  score %]]&gt;AVERAGE(HollywoodsMostProfitableStories[Audience  score %]), "High score","Low score" )</f>
        <v>High score</v>
      </c>
    </row>
    <row r="67" spans="1:9" x14ac:dyDescent="0.25">
      <c r="A67" t="s">
        <v>92</v>
      </c>
      <c r="B67" t="s">
        <v>9</v>
      </c>
      <c r="C67" t="s">
        <v>10</v>
      </c>
      <c r="D67">
        <v>72</v>
      </c>
      <c r="E67" s="4">
        <v>6.2676470289999999</v>
      </c>
      <c r="F67">
        <v>28</v>
      </c>
      <c r="G67" s="6">
        <v>219.36764600000001</v>
      </c>
      <c r="H67">
        <v>2008</v>
      </c>
      <c r="I67" t="str">
        <f>IF(HollywoodsMostProfitableStories[[#This Row],[Audience  score %]]&gt;AVERAGE(HollywoodsMostProfitableStories[Audience  score %]), "High score","Low score" )</f>
        <v>High score</v>
      </c>
    </row>
    <row r="68" spans="1:9" x14ac:dyDescent="0.25">
      <c r="A68" t="s">
        <v>93</v>
      </c>
      <c r="B68" t="s">
        <v>9</v>
      </c>
      <c r="C68" t="s">
        <v>14</v>
      </c>
      <c r="D68">
        <v>35</v>
      </c>
      <c r="E68" s="4">
        <v>1.211818182</v>
      </c>
      <c r="F68">
        <v>43</v>
      </c>
      <c r="G68" s="6">
        <v>26.66</v>
      </c>
      <c r="H68">
        <v>2010</v>
      </c>
      <c r="I68" t="str">
        <f>IF(HollywoodsMostProfitableStories[[#This Row],[Audience  score %]]&gt;AVERAGE(HollywoodsMostProfitableStories[Audience  score %]), "High score","Low score" )</f>
        <v>Low score</v>
      </c>
    </row>
    <row r="69" spans="1:9" x14ac:dyDescent="0.25">
      <c r="A69" t="s">
        <v>94</v>
      </c>
      <c r="B69" t="s">
        <v>9</v>
      </c>
      <c r="C69" t="s">
        <v>57</v>
      </c>
      <c r="D69">
        <v>52</v>
      </c>
      <c r="E69" s="4">
        <v>1.0900000000000001</v>
      </c>
      <c r="F69">
        <v>68</v>
      </c>
      <c r="G69" s="6">
        <v>19.62</v>
      </c>
      <c r="H69">
        <v>2010</v>
      </c>
      <c r="I69" t="str">
        <f>IF(HollywoodsMostProfitableStories[[#This Row],[Audience  score %]]&gt;AVERAGE(HollywoodsMostProfitableStories[Audience  score %]), "High score","Low score" )</f>
        <v>Low score</v>
      </c>
    </row>
    <row r="70" spans="1:9" x14ac:dyDescent="0.25">
      <c r="A70" t="s">
        <v>95</v>
      </c>
      <c r="B70" t="s">
        <v>18</v>
      </c>
      <c r="C70" t="s">
        <v>57</v>
      </c>
      <c r="D70">
        <v>70</v>
      </c>
      <c r="E70" s="4">
        <v>1.7475416669999999</v>
      </c>
      <c r="F70">
        <v>64</v>
      </c>
      <c r="G70" s="6">
        <v>41.941000000000003</v>
      </c>
      <c r="H70">
        <v>2008</v>
      </c>
      <c r="I70" t="str">
        <f>IF(HollywoodsMostProfitableStories[[#This Row],[Audience  score %]]&gt;AVERAGE(HollywoodsMostProfitableStories[Audience  score %]), "High score","Low score" )</f>
        <v>High score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B978-F0EC-4D4E-AB31-E059715481CF}">
  <dimension ref="A3:B6"/>
  <sheetViews>
    <sheetView workbookViewId="0">
      <selection activeCell="K40" sqref="K40"/>
    </sheetView>
  </sheetViews>
  <sheetFormatPr defaultRowHeight="15" x14ac:dyDescent="0.25"/>
  <cols>
    <col min="1" max="1" width="13.42578125" bestFit="1" customWidth="1"/>
    <col min="2" max="2" width="21.85546875" bestFit="1" customWidth="1"/>
    <col min="3" max="3" width="17.42578125" bestFit="1" customWidth="1"/>
  </cols>
  <sheetData>
    <row r="3" spans="1:2" x14ac:dyDescent="0.25">
      <c r="A3" s="2" t="s">
        <v>103</v>
      </c>
      <c r="B3" t="s">
        <v>111</v>
      </c>
    </row>
    <row r="4" spans="1:2" x14ac:dyDescent="0.25">
      <c r="A4" s="3" t="s">
        <v>109</v>
      </c>
      <c r="B4" s="4">
        <v>5.2679583645142865</v>
      </c>
    </row>
    <row r="5" spans="1:2" x14ac:dyDescent="0.25">
      <c r="A5" s="3" t="s">
        <v>110</v>
      </c>
      <c r="B5" s="4">
        <v>4.3308546516470576</v>
      </c>
    </row>
    <row r="6" spans="1:2" x14ac:dyDescent="0.25">
      <c r="A6" s="3" t="s">
        <v>104</v>
      </c>
      <c r="B6" s="4">
        <v>4.8061971146956504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0E1D-624E-4E3D-8887-98C7D810825A}">
  <dimension ref="A3:G11"/>
  <sheetViews>
    <sheetView workbookViewId="0">
      <selection activeCell="Q20" sqref="Q20"/>
    </sheetView>
  </sheetViews>
  <sheetFormatPr defaultRowHeight="15" x14ac:dyDescent="0.25"/>
  <cols>
    <col min="1" max="1" width="15" bestFit="1" customWidth="1"/>
    <col min="2" max="2" width="16.85546875" bestFit="1" customWidth="1"/>
    <col min="3" max="6" width="5" bestFit="1" customWidth="1"/>
    <col min="7" max="8" width="11.28515625" bestFit="1" customWidth="1"/>
    <col min="9" max="11" width="15" bestFit="1" customWidth="1"/>
    <col min="12" max="13" width="20" bestFit="1" customWidth="1"/>
  </cols>
  <sheetData>
    <row r="3" spans="1:7" x14ac:dyDescent="0.25">
      <c r="A3" s="2" t="s">
        <v>112</v>
      </c>
      <c r="B3" s="2" t="s">
        <v>113</v>
      </c>
    </row>
    <row r="4" spans="1:7" x14ac:dyDescent="0.25">
      <c r="A4" s="2" t="s">
        <v>103</v>
      </c>
      <c r="B4">
        <v>2007</v>
      </c>
      <c r="C4">
        <v>2008</v>
      </c>
      <c r="D4">
        <v>2009</v>
      </c>
      <c r="E4">
        <v>2010</v>
      </c>
      <c r="F4">
        <v>2011</v>
      </c>
      <c r="G4" t="s">
        <v>104</v>
      </c>
    </row>
    <row r="5" spans="1:7" x14ac:dyDescent="0.25">
      <c r="A5" s="3" t="s">
        <v>39</v>
      </c>
      <c r="E5">
        <v>1</v>
      </c>
      <c r="G5">
        <v>1</v>
      </c>
    </row>
    <row r="6" spans="1:7" x14ac:dyDescent="0.25">
      <c r="A6" s="3" t="s">
        <v>29</v>
      </c>
      <c r="C6">
        <v>1</v>
      </c>
      <c r="E6">
        <v>1</v>
      </c>
      <c r="F6">
        <v>1</v>
      </c>
      <c r="G6">
        <v>3</v>
      </c>
    </row>
    <row r="7" spans="1:7" x14ac:dyDescent="0.25">
      <c r="A7" s="3" t="s">
        <v>9</v>
      </c>
      <c r="B7">
        <v>5</v>
      </c>
      <c r="C7">
        <v>12</v>
      </c>
      <c r="D7">
        <v>7</v>
      </c>
      <c r="E7">
        <v>13</v>
      </c>
      <c r="F7">
        <v>1</v>
      </c>
      <c r="G7">
        <v>38</v>
      </c>
    </row>
    <row r="8" spans="1:7" x14ac:dyDescent="0.25">
      <c r="A8" s="3" t="s">
        <v>13</v>
      </c>
      <c r="C8">
        <v>3</v>
      </c>
      <c r="D8">
        <v>5</v>
      </c>
      <c r="E8">
        <v>2</v>
      </c>
      <c r="F8">
        <v>3</v>
      </c>
      <c r="G8">
        <v>13</v>
      </c>
    </row>
    <row r="9" spans="1:7" x14ac:dyDescent="0.25">
      <c r="A9" s="3" t="s">
        <v>76</v>
      </c>
      <c r="C9">
        <v>1</v>
      </c>
      <c r="G9">
        <v>1</v>
      </c>
    </row>
    <row r="10" spans="1:7" x14ac:dyDescent="0.25">
      <c r="A10" s="3" t="s">
        <v>18</v>
      </c>
      <c r="B10">
        <v>5</v>
      </c>
      <c r="C10">
        <v>2</v>
      </c>
      <c r="F10">
        <v>6</v>
      </c>
      <c r="G10">
        <v>13</v>
      </c>
    </row>
    <row r="11" spans="1:7" x14ac:dyDescent="0.25">
      <c r="A11" s="3" t="s">
        <v>104</v>
      </c>
      <c r="B11">
        <v>10</v>
      </c>
      <c r="C11">
        <v>19</v>
      </c>
      <c r="D11">
        <v>12</v>
      </c>
      <c r="E11">
        <v>17</v>
      </c>
      <c r="F11">
        <v>11</v>
      </c>
      <c r="G11">
        <v>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D250-2788-481C-A031-E6827E9C5E62}">
  <dimension ref="A3:E4"/>
  <sheetViews>
    <sheetView workbookViewId="0">
      <selection activeCell="H12" sqref="H12"/>
    </sheetView>
  </sheetViews>
  <sheetFormatPr defaultRowHeight="15" x14ac:dyDescent="0.25"/>
  <cols>
    <col min="1" max="1" width="26.140625" bestFit="1" customWidth="1"/>
    <col min="2" max="2" width="24.5703125" bestFit="1" customWidth="1"/>
    <col min="3" max="3" width="24.28515625" bestFit="1" customWidth="1"/>
    <col min="4" max="4" width="27.7109375" bestFit="1" customWidth="1"/>
    <col min="5" max="5" width="27.140625" bestFit="1" customWidth="1"/>
    <col min="6" max="6" width="24.42578125" bestFit="1" customWidth="1"/>
    <col min="7" max="7" width="9.42578125" bestFit="1" customWidth="1"/>
    <col min="8" max="8" width="24.5703125" bestFit="1" customWidth="1"/>
    <col min="9" max="9" width="10.140625" bestFit="1" customWidth="1"/>
    <col min="10" max="10" width="8.5703125" bestFit="1" customWidth="1"/>
    <col min="11" max="11" width="6.85546875" bestFit="1" customWidth="1"/>
    <col min="12" max="12" width="7.85546875" bestFit="1" customWidth="1"/>
    <col min="13" max="13" width="9.42578125" bestFit="1" customWidth="1"/>
    <col min="14" max="14" width="24.28515625" bestFit="1" customWidth="1"/>
    <col min="15" max="15" width="10.140625" bestFit="1" customWidth="1"/>
    <col min="16" max="16" width="8.5703125" bestFit="1" customWidth="1"/>
    <col min="17" max="17" width="6.85546875" bestFit="1" customWidth="1"/>
    <col min="18" max="18" width="7.85546875" bestFit="1" customWidth="1"/>
    <col min="19" max="19" width="9.42578125" bestFit="1" customWidth="1"/>
    <col min="20" max="20" width="31.140625" bestFit="1" customWidth="1"/>
    <col min="21" max="21" width="29.7109375" bestFit="1" customWidth="1"/>
    <col min="22" max="22" width="29.28515625" bestFit="1" customWidth="1"/>
  </cols>
  <sheetData>
    <row r="3" spans="1:5" x14ac:dyDescent="0.25">
      <c r="A3" t="s">
        <v>105</v>
      </c>
      <c r="B3" t="s">
        <v>106</v>
      </c>
      <c r="C3" t="s">
        <v>107</v>
      </c>
      <c r="D3" t="s">
        <v>114</v>
      </c>
      <c r="E3" t="s">
        <v>115</v>
      </c>
    </row>
    <row r="4" spans="1:5" x14ac:dyDescent="0.25">
      <c r="A4" s="7">
        <v>69</v>
      </c>
      <c r="B4" s="7">
        <v>89</v>
      </c>
      <c r="C4" s="7">
        <v>35</v>
      </c>
      <c r="D4" s="7">
        <v>64.463768115942031</v>
      </c>
      <c r="E4" s="7">
        <v>13.613984710956045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A425-FA1A-4EEA-A7A2-1395A86413E8}">
  <dimension ref="A3:B10"/>
  <sheetViews>
    <sheetView workbookViewId="0">
      <selection activeCell="J27" sqref="J27"/>
    </sheetView>
  </sheetViews>
  <sheetFormatPr defaultRowHeight="15" x14ac:dyDescent="0.25"/>
  <cols>
    <col min="1" max="1" width="13.42578125" bestFit="1" customWidth="1"/>
    <col min="2" max="2" width="15" bestFit="1" customWidth="1"/>
    <col min="3" max="3" width="16" bestFit="1" customWidth="1"/>
  </cols>
  <sheetData>
    <row r="3" spans="1:2" x14ac:dyDescent="0.25">
      <c r="A3" s="2" t="s">
        <v>103</v>
      </c>
      <c r="B3" t="s">
        <v>112</v>
      </c>
    </row>
    <row r="4" spans="1:2" x14ac:dyDescent="0.25">
      <c r="A4" s="3" t="s">
        <v>39</v>
      </c>
      <c r="B4" s="7">
        <v>1</v>
      </c>
    </row>
    <row r="5" spans="1:2" x14ac:dyDescent="0.25">
      <c r="A5" s="3" t="s">
        <v>29</v>
      </c>
      <c r="B5" s="7">
        <v>3</v>
      </c>
    </row>
    <row r="6" spans="1:2" x14ac:dyDescent="0.25">
      <c r="A6" s="3" t="s">
        <v>9</v>
      </c>
      <c r="B6" s="7">
        <v>38</v>
      </c>
    </row>
    <row r="7" spans="1:2" x14ac:dyDescent="0.25">
      <c r="A7" s="3" t="s">
        <v>13</v>
      </c>
      <c r="B7" s="7">
        <v>13</v>
      </c>
    </row>
    <row r="8" spans="1:2" x14ac:dyDescent="0.25">
      <c r="A8" s="3" t="s">
        <v>76</v>
      </c>
      <c r="B8" s="7">
        <v>1</v>
      </c>
    </row>
    <row r="9" spans="1:2" x14ac:dyDescent="0.25">
      <c r="A9" s="3" t="s">
        <v>18</v>
      </c>
      <c r="B9" s="7">
        <v>13</v>
      </c>
    </row>
    <row r="10" spans="1:2" x14ac:dyDescent="0.25">
      <c r="A10" s="3" t="s">
        <v>104</v>
      </c>
      <c r="B10" s="7">
        <v>69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56C9CD-0B68-4685-AF5D-85FB640EA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Sheet7</vt:lpstr>
      <vt:lpstr>HollywoodsMostProfitableStories</vt:lpstr>
      <vt:lpstr>Average profitability of High s</vt:lpstr>
      <vt:lpstr>Count films genre per each year</vt:lpstr>
      <vt:lpstr>Pivot table for High and Low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Taranenko</dc:creator>
  <cp:lastModifiedBy>Daniil Taranenko</cp:lastModifiedBy>
  <dcterms:created xsi:type="dcterms:W3CDTF">2026-04-05T22:00:48Z</dcterms:created>
  <dcterms:modified xsi:type="dcterms:W3CDTF">2026-04-08T11:08:46Z</dcterms:modified>
</cp:coreProperties>
</file>